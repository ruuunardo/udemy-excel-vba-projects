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tables/table1.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hidePivotFieldList="1"/>
  <mc:AlternateContent xmlns:mc="http://schemas.openxmlformats.org/markup-compatibility/2006">
    <mc:Choice Requires="x15">
      <x15ac:absPath xmlns:x15ac="http://schemas.microsoft.com/office/spreadsheetml/2010/11/ac" url="D:\01-Documents\UDemy\03-Excel-Macro\MainProject02\"/>
    </mc:Choice>
  </mc:AlternateContent>
  <xr:revisionPtr revIDLastSave="0" documentId="13_ncr:1_{6C3FC342-9023-4F9B-AB4D-67C2143A95E2}" xr6:coauthVersionLast="47" xr6:coauthVersionMax="47" xr10:uidLastSave="{00000000-0000-0000-0000-000000000000}"/>
  <bookViews>
    <workbookView xWindow="-110" yWindow="-110" windowWidth="19420" windowHeight="10420" xr2:uid="{00000000-000D-0000-FFFF-FFFF00000000}"/>
  </bookViews>
  <sheets>
    <sheet name="Start" sheetId="6" r:id="rId1"/>
    <sheet name="Summary" sheetId="3" state="veryHidden" r:id="rId2"/>
    <sheet name="RegionTemp" sheetId="7" r:id="rId3"/>
    <sheet name="Map" sheetId="2" state="veryHidden" r:id="rId4"/>
    <sheet name="NewData" sheetId="4" state="veryHidden" r:id="rId5"/>
    <sheet name="Instructions" sheetId="11" r:id="rId6"/>
  </sheets>
  <definedNames>
    <definedName name="_xlnm._FilterDatabase" localSheetId="1" hidden="1">Summary!$A$1:$H$141</definedName>
    <definedName name="MRegion">Map!$G$9:$G$10</definedName>
    <definedName name="Slicer_Company_Name">#N/A</definedName>
  </definedNames>
  <calcPr calcId="191029"/>
  <pivotCaches>
    <pivotCache cacheId="35"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3" i="7" l="1"/>
  <c r="I4" i="7"/>
  <c r="I5" i="7"/>
  <c r="I6" i="7"/>
  <c r="I7"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42" i="7"/>
  <c r="I43" i="7"/>
  <c r="I44" i="7"/>
  <c r="I45" i="7"/>
  <c r="I46" i="7"/>
  <c r="I47" i="7"/>
  <c r="I48" i="7"/>
  <c r="I49" i="7"/>
  <c r="I50" i="7"/>
  <c r="I51" i="7"/>
  <c r="I52" i="7"/>
  <c r="I53" i="7"/>
  <c r="I54" i="7"/>
  <c r="I55" i="7"/>
  <c r="I56" i="7"/>
  <c r="I57" i="7"/>
  <c r="I58" i="7"/>
  <c r="I59" i="7"/>
  <c r="I60" i="7"/>
  <c r="I61" i="7"/>
  <c r="I62" i="7"/>
  <c r="I63" i="7"/>
  <c r="I64" i="7"/>
  <c r="J3" i="7"/>
  <c r="J4" i="7"/>
  <c r="J5" i="7"/>
  <c r="J6" i="7"/>
  <c r="J7" i="7"/>
  <c r="J8" i="7"/>
  <c r="J9" i="7"/>
  <c r="J10" i="7"/>
  <c r="J11" i="7"/>
  <c r="J12" i="7"/>
  <c r="J13" i="7"/>
  <c r="J14" i="7"/>
  <c r="J15" i="7"/>
  <c r="J16" i="7"/>
  <c r="J17" i="7"/>
  <c r="J18" i="7"/>
  <c r="J19" i="7"/>
  <c r="J20" i="7"/>
  <c r="J21" i="7"/>
  <c r="J22" i="7"/>
  <c r="J23" i="7"/>
  <c r="J24" i="7"/>
  <c r="J25" i="7"/>
  <c r="J26" i="7"/>
  <c r="J27" i="7"/>
  <c r="J28" i="7"/>
  <c r="J29" i="7"/>
  <c r="J30" i="7"/>
  <c r="J31" i="7"/>
  <c r="J32" i="7"/>
  <c r="J33" i="7"/>
  <c r="J34" i="7"/>
  <c r="J35" i="7"/>
  <c r="J36" i="7"/>
  <c r="J37" i="7"/>
  <c r="J38" i="7"/>
  <c r="J39" i="7"/>
  <c r="J40" i="7"/>
  <c r="J41" i="7"/>
  <c r="J42" i="7"/>
  <c r="J43" i="7"/>
  <c r="J44" i="7"/>
  <c r="J45" i="7"/>
  <c r="J46" i="7"/>
  <c r="J47" i="7"/>
  <c r="J48" i="7"/>
  <c r="J49" i="7"/>
  <c r="J50" i="7"/>
  <c r="J51" i="7"/>
  <c r="J52" i="7"/>
  <c r="J53" i="7"/>
  <c r="J54" i="7"/>
  <c r="J55" i="7"/>
  <c r="J56" i="7"/>
  <c r="J57" i="7"/>
  <c r="J58" i="7"/>
  <c r="J59" i="7"/>
  <c r="J60" i="7"/>
  <c r="J61" i="7"/>
  <c r="J62" i="7"/>
  <c r="J63" i="7"/>
  <c r="J64" i="7"/>
  <c r="K3" i="7"/>
  <c r="K4" i="7"/>
  <c r="K5" i="7"/>
  <c r="K6" i="7"/>
  <c r="K7"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L3" i="7"/>
  <c r="L4" i="7"/>
  <c r="L5" i="7"/>
  <c r="L6" i="7"/>
  <c r="L7" i="7"/>
  <c r="M7" i="7" s="1"/>
  <c r="L8" i="7"/>
  <c r="M8" i="7" s="1"/>
  <c r="L9" i="7"/>
  <c r="L10" i="7"/>
  <c r="L11" i="7"/>
  <c r="L12" i="7"/>
  <c r="L13" i="7"/>
  <c r="L14" i="7"/>
  <c r="L15" i="7"/>
  <c r="M15" i="7" s="1"/>
  <c r="L16" i="7"/>
  <c r="M16" i="7" s="1"/>
  <c r="L17" i="7"/>
  <c r="L18" i="7"/>
  <c r="L19" i="7"/>
  <c r="L20" i="7"/>
  <c r="L21" i="7"/>
  <c r="L22" i="7"/>
  <c r="L23" i="7"/>
  <c r="M23" i="7" s="1"/>
  <c r="L24" i="7"/>
  <c r="M24" i="7" s="1"/>
  <c r="L25" i="7"/>
  <c r="L26" i="7"/>
  <c r="L27" i="7"/>
  <c r="L28" i="7"/>
  <c r="L29" i="7"/>
  <c r="L30" i="7"/>
  <c r="L31" i="7"/>
  <c r="M31" i="7" s="1"/>
  <c r="L32" i="7"/>
  <c r="M32" i="7" s="1"/>
  <c r="L33" i="7"/>
  <c r="L34" i="7"/>
  <c r="L35" i="7"/>
  <c r="L36" i="7"/>
  <c r="L37" i="7"/>
  <c r="L38" i="7"/>
  <c r="L39" i="7"/>
  <c r="M39" i="7" s="1"/>
  <c r="L40" i="7"/>
  <c r="M40" i="7" s="1"/>
  <c r="L41" i="7"/>
  <c r="L42" i="7"/>
  <c r="L43" i="7"/>
  <c r="L44" i="7"/>
  <c r="L45" i="7"/>
  <c r="L46" i="7"/>
  <c r="L47" i="7"/>
  <c r="M47" i="7" s="1"/>
  <c r="L48" i="7"/>
  <c r="M48" i="7" s="1"/>
  <c r="L49" i="7"/>
  <c r="L50" i="7"/>
  <c r="L51" i="7"/>
  <c r="L52" i="7"/>
  <c r="L53" i="7"/>
  <c r="L54" i="7"/>
  <c r="L55" i="7"/>
  <c r="M55" i="7" s="1"/>
  <c r="L56" i="7"/>
  <c r="M56" i="7" s="1"/>
  <c r="L57" i="7"/>
  <c r="L58" i="7"/>
  <c r="L59" i="7"/>
  <c r="L60" i="7"/>
  <c r="L61" i="7"/>
  <c r="L62" i="7"/>
  <c r="L63" i="7"/>
  <c r="M63" i="7" s="1"/>
  <c r="L64" i="7"/>
  <c r="M64" i="7" s="1"/>
  <c r="M3" i="7"/>
  <c r="M4" i="7"/>
  <c r="M5" i="7"/>
  <c r="M6" i="7"/>
  <c r="M9" i="7"/>
  <c r="M10" i="7"/>
  <c r="M11" i="7"/>
  <c r="M12" i="7"/>
  <c r="M13" i="7"/>
  <c r="M14" i="7"/>
  <c r="M17" i="7"/>
  <c r="M18" i="7"/>
  <c r="M19" i="7"/>
  <c r="M20" i="7"/>
  <c r="M21" i="7"/>
  <c r="M22" i="7"/>
  <c r="M25" i="7"/>
  <c r="M26" i="7"/>
  <c r="M27" i="7"/>
  <c r="M28" i="7"/>
  <c r="M29" i="7"/>
  <c r="M30" i="7"/>
  <c r="M33" i="7"/>
  <c r="M34" i="7"/>
  <c r="M35" i="7"/>
  <c r="M36" i="7"/>
  <c r="M37" i="7"/>
  <c r="M38" i="7"/>
  <c r="M41" i="7"/>
  <c r="M42" i="7"/>
  <c r="M43" i="7"/>
  <c r="M44" i="7"/>
  <c r="M45" i="7"/>
  <c r="M46" i="7"/>
  <c r="M49" i="7"/>
  <c r="M50" i="7"/>
  <c r="M51" i="7"/>
  <c r="M52" i="7"/>
  <c r="M53" i="7"/>
  <c r="M54" i="7"/>
  <c r="M57" i="7"/>
  <c r="M58" i="7"/>
  <c r="M59" i="7"/>
  <c r="M60" i="7"/>
  <c r="M61" i="7"/>
  <c r="M62" i="7"/>
  <c r="J2" i="7"/>
  <c r="L2" i="7" l="1"/>
  <c r="M2" i="7" s="1"/>
  <c r="K2" i="7"/>
  <c r="I2" i="7"/>
</calcChain>
</file>

<file path=xl/sharedStrings.xml><?xml version="1.0" encoding="utf-8"?>
<sst xmlns="http://schemas.openxmlformats.org/spreadsheetml/2006/main" count="476" uniqueCount="123">
  <si>
    <t>Description</t>
  </si>
  <si>
    <t>USD</t>
  </si>
  <si>
    <t>Sales Document</t>
  </si>
  <si>
    <t>Currency</t>
  </si>
  <si>
    <t>Women crop top black</t>
  </si>
  <si>
    <t>Men basics</t>
  </si>
  <si>
    <t>Men type T simple white</t>
  </si>
  <si>
    <t>Men type T simple black</t>
  </si>
  <si>
    <t>Women type T simple white</t>
  </si>
  <si>
    <t>Women type T simple black</t>
  </si>
  <si>
    <t>Women basics</t>
  </si>
  <si>
    <t>Laptop bag black</t>
  </si>
  <si>
    <t>Laptop bag red</t>
  </si>
  <si>
    <t>Smartphone case diamond</t>
  </si>
  <si>
    <t>Smartphone case simple</t>
  </si>
  <si>
    <t>Men dress shirt white</t>
  </si>
  <si>
    <t>Men dress shirt black</t>
  </si>
  <si>
    <t>Men dress shirt grey</t>
  </si>
  <si>
    <t>Unisex tank top black</t>
  </si>
  <si>
    <t>Unisex tank top white</t>
  </si>
  <si>
    <t>Men shorts grey</t>
  </si>
  <si>
    <t>Men shorts black</t>
  </si>
  <si>
    <t>Women evening dress long black</t>
  </si>
  <si>
    <t>Women evening dress Cocktail red</t>
  </si>
  <si>
    <t>Master Data &amp;</t>
  </si>
  <si>
    <t>Mapping Table</t>
  </si>
  <si>
    <t>Article Number Mapping</t>
  </si>
  <si>
    <t>Company Mapping</t>
  </si>
  <si>
    <t>1010US</t>
  </si>
  <si>
    <t>1020US</t>
  </si>
  <si>
    <t>1030AT</t>
  </si>
  <si>
    <t>1040DE</t>
  </si>
  <si>
    <t>Urban Right</t>
  </si>
  <si>
    <t>Lucas Basics</t>
  </si>
  <si>
    <t>Bere Kleid</t>
  </si>
  <si>
    <t>Company Name</t>
  </si>
  <si>
    <t>Ship to Party Mapping</t>
  </si>
  <si>
    <t>Month</t>
  </si>
  <si>
    <t>EUR</t>
  </si>
  <si>
    <t>Company ID</t>
  </si>
  <si>
    <t>Document Date</t>
  </si>
  <si>
    <t>Quantity</t>
  </si>
  <si>
    <t>Sales Value</t>
  </si>
  <si>
    <t>Reject</t>
  </si>
  <si>
    <t>Customer Name</t>
  </si>
  <si>
    <t>Dellicia</t>
  </si>
  <si>
    <t>Meta Creations</t>
  </si>
  <si>
    <t>Erma</t>
  </si>
  <si>
    <t>Edson</t>
  </si>
  <si>
    <t>Customer code</t>
  </si>
  <si>
    <t>Company code</t>
  </si>
  <si>
    <t>EUR to $</t>
  </si>
  <si>
    <t>Article code</t>
  </si>
  <si>
    <t>Region</t>
  </si>
  <si>
    <t>America</t>
  </si>
  <si>
    <t>Europe</t>
  </si>
  <si>
    <t>Aim of the tool</t>
  </si>
  <si>
    <t>Your Challenge</t>
  </si>
  <si>
    <t>Regions</t>
  </si>
  <si>
    <t>Werner Strauss</t>
  </si>
  <si>
    <t>Aida GmbH</t>
  </si>
  <si>
    <t>Liebher</t>
  </si>
  <si>
    <t>• An interactive Pivot based regional report for the regional managers of USA and Europe</t>
  </si>
  <si>
    <t>2. The data extract you receive uses codes. The managers want to see the description and not the code.</t>
  </si>
  <si>
    <t>3. You need to combine the data for each region and create a separate Excel report for it.</t>
  </si>
  <si>
    <t>6. You need to split each region to it's own file. European Regional managers should not see the US data</t>
  </si>
  <si>
    <t>7. You need to get all the data in CSV format and save it on the directory.</t>
  </si>
  <si>
    <t>5. Top management would like to have a one-pager report that is hardcoded (macro free workbook).</t>
  </si>
  <si>
    <t>4. Regional managers would like to have Pivot based reports so they can slice and dice through the information (macro free workbook).</t>
  </si>
  <si>
    <t xml:space="preserve">8. Since these are a lot of tasks, and data for each company might come in at different points, you'd like to keep track </t>
  </si>
  <si>
    <t>of which tasks you've already completed.</t>
  </si>
  <si>
    <t>Imagine this Situation…</t>
  </si>
  <si>
    <t xml:space="preserve">There is a lot of copying, pasting, looking up values from master data (i.e. mapping codes to get descriptions). </t>
  </si>
  <si>
    <t>The tool should automate the entire process to 2 minutes - even with data changes.</t>
  </si>
  <si>
    <t>… and sometimes you might make mistakes…. (after all the task is a bit boring…)</t>
  </si>
  <si>
    <r>
      <t xml:space="preserve">Possibility of manual mistakes due to boredom: </t>
    </r>
    <r>
      <rPr>
        <sz val="11"/>
        <color rgb="FF92D050"/>
        <rFont val="Arial"/>
        <family val="2"/>
        <scheme val="minor"/>
      </rPr>
      <t>Eliminated</t>
    </r>
  </si>
  <si>
    <r>
      <t xml:space="preserve">Frustration because data was updated after sending (you had to repeat the process): </t>
    </r>
    <r>
      <rPr>
        <sz val="11"/>
        <color rgb="FF92D050"/>
        <rFont val="Arial"/>
        <family val="2"/>
        <scheme val="minor"/>
      </rPr>
      <t>Eliminated</t>
    </r>
  </si>
  <si>
    <t>- You are a Sales Controller working at the headquarters of Urban Creations.</t>
  </si>
  <si>
    <t>- Urban Creations owns 4 companies. 2 are in the USA and 2 are in Europe.</t>
  </si>
  <si>
    <t>- At the end of each month you receive system extracts for each company that covers some key sales &amp; customer parameters.</t>
  </si>
  <si>
    <t>1. There are two USA and two European companies. You need to get all the information in one place.</t>
  </si>
  <si>
    <t>Average monthly exchange rates</t>
  </si>
  <si>
    <t>• A hard coded regional overview report for top management</t>
  </si>
  <si>
    <t>- In addition to this, you need to generate a CSV file of all the data to be loaded to your central ERP system for year-to-date reporting.</t>
  </si>
  <si>
    <t>- Based on this data, you need to create the following Monthly Reports:</t>
  </si>
  <si>
    <r>
      <t>Time savings:</t>
    </r>
    <r>
      <rPr>
        <sz val="11"/>
        <color rgb="FF92D050"/>
        <rFont val="Arial"/>
        <family val="2"/>
        <scheme val="minor"/>
      </rPr>
      <t xml:space="preserve"> 4 plus hours</t>
    </r>
  </si>
  <si>
    <t>All of this will cost you a lot of time if done manually (possibly around 4 hours - plus data changes are not uncommon)</t>
  </si>
  <si>
    <t>Sometimes you have to repeat the whole process because wrong data was sent;</t>
  </si>
  <si>
    <t/>
  </si>
  <si>
    <t>Sales Local Currency</t>
  </si>
  <si>
    <t>Article Decription</t>
  </si>
  <si>
    <t>Sales US Dollar</t>
  </si>
  <si>
    <t>Regional Sales by Customer</t>
  </si>
  <si>
    <t>Customer</t>
  </si>
  <si>
    <t>$ Sales</t>
  </si>
  <si>
    <t xml:space="preserve"> </t>
  </si>
  <si>
    <t>Total</t>
  </si>
  <si>
    <t>Row Labels</t>
  </si>
  <si>
    <t>Article Overview by Company</t>
  </si>
  <si>
    <t xml:space="preserve">Quantity </t>
  </si>
  <si>
    <t xml:space="preserve">Reject </t>
  </si>
  <si>
    <t xml:space="preserve">Reject % </t>
  </si>
  <si>
    <t>Regional Overview</t>
  </si>
  <si>
    <t>Sales in US Dollar</t>
  </si>
  <si>
    <t xml:space="preserve"> Quantity</t>
  </si>
  <si>
    <t xml:space="preserve">Article </t>
  </si>
  <si>
    <t>Tasks Completed</t>
  </si>
  <si>
    <t>Internal code</t>
  </si>
  <si>
    <t>C11</t>
  </si>
  <si>
    <t>C14</t>
  </si>
  <si>
    <t>C19</t>
  </si>
  <si>
    <t>C18</t>
  </si>
  <si>
    <t>C10</t>
  </si>
  <si>
    <t>C17</t>
  </si>
  <si>
    <t>C13</t>
  </si>
  <si>
    <t>C16</t>
  </si>
  <si>
    <t>C12</t>
  </si>
  <si>
    <t>C20</t>
  </si>
  <si>
    <t>C15</t>
  </si>
  <si>
    <t>Meta Creations Total</t>
  </si>
  <si>
    <t>Urban Right Total</t>
  </si>
  <si>
    <t>Imported data[1030AT,1040DE,1020US,1010US,] - created on: 20/07/2024 10:33:18 AM</t>
  </si>
  <si>
    <t>Sales Data CSV file for 201810 - created on: 20/07/2024 10:34:41 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</si>
</sst>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quot;$&quot;#,##0"/>
    <numFmt numFmtId="165" formatCode="0.0%"/>
  </numFmts>
  <fonts count="15" x14ac:knownFonts="1">
    <font>
      <sz val="10"/>
      <color theme="1"/>
      <name val="Arial"/>
      <family val="2"/>
      <scheme val="minor"/>
    </font>
    <font>
      <sz val="11"/>
      <color theme="1"/>
      <name val="Arial"/>
      <family val="2"/>
      <scheme val="minor"/>
    </font>
    <font>
      <sz val="11"/>
      <color theme="1"/>
      <name val="Arial"/>
      <family val="2"/>
      <scheme val="minor"/>
    </font>
    <font>
      <sz val="8"/>
      <color theme="1"/>
      <name val="Arial"/>
      <family val="2"/>
    </font>
    <font>
      <b/>
      <sz val="11"/>
      <color theme="0"/>
      <name val="Arial"/>
      <family val="2"/>
      <scheme val="minor"/>
    </font>
    <font>
      <b/>
      <sz val="11"/>
      <name val="Arial"/>
      <family val="2"/>
      <scheme val="minor"/>
    </font>
    <font>
      <b/>
      <sz val="10"/>
      <color indexed="9"/>
      <name val="Arial"/>
      <family val="2"/>
      <scheme val="minor"/>
    </font>
    <font>
      <sz val="10"/>
      <color theme="1"/>
      <name val="Arial"/>
      <family val="2"/>
      <scheme val="minor"/>
    </font>
    <font>
      <b/>
      <sz val="14"/>
      <color theme="1"/>
      <name val="Arial"/>
      <family val="2"/>
      <scheme val="minor"/>
    </font>
    <font>
      <sz val="10"/>
      <color theme="8" tint="-0.249977111117893"/>
      <name val="Arial"/>
      <family val="2"/>
      <scheme val="minor"/>
    </font>
    <font>
      <sz val="11"/>
      <color rgb="FF92D050"/>
      <name val="Arial"/>
      <family val="2"/>
      <scheme val="minor"/>
    </font>
    <font>
      <sz val="10"/>
      <color theme="0"/>
      <name val="Arial"/>
      <family val="2"/>
      <scheme val="minor"/>
    </font>
    <font>
      <b/>
      <sz val="10"/>
      <color theme="0"/>
      <name val="Arial"/>
      <family val="2"/>
      <scheme val="minor"/>
    </font>
    <font>
      <b/>
      <sz val="10"/>
      <color theme="1"/>
      <name val="Arial"/>
      <family val="2"/>
      <scheme val="minor"/>
    </font>
    <font>
      <sz val="10"/>
      <color rgb="FF000000"/>
      <name val="Arial"/>
      <family val="2"/>
    </font>
  </fonts>
  <fills count="9">
    <fill>
      <patternFill patternType="none"/>
    </fill>
    <fill>
      <patternFill patternType="gray125"/>
    </fill>
    <fill>
      <patternFill patternType="solid">
        <fgColor theme="2" tint="-0.749992370372631"/>
        <bgColor indexed="64"/>
      </patternFill>
    </fill>
    <fill>
      <patternFill patternType="solid">
        <fgColor indexed="44"/>
        <bgColor indexed="64"/>
      </patternFill>
    </fill>
    <fill>
      <patternFill patternType="solid">
        <fgColor theme="3"/>
        <bgColor indexed="64"/>
      </patternFill>
    </fill>
    <fill>
      <patternFill patternType="solid">
        <fgColor theme="9" tint="-0.249977111117893"/>
        <bgColor indexed="64"/>
      </patternFill>
    </fill>
    <fill>
      <patternFill patternType="solid">
        <fgColor theme="1" tint="0.34998626667073579"/>
        <bgColor indexed="64"/>
      </patternFill>
    </fill>
    <fill>
      <patternFill patternType="solid">
        <fgColor theme="0"/>
        <bgColor indexed="64"/>
      </patternFill>
    </fill>
    <fill>
      <patternFill patternType="solid">
        <fgColor theme="4" tint="-0.249977111117893"/>
        <bgColor indexed="64"/>
      </patternFill>
    </fill>
  </fills>
  <borders count="8">
    <border>
      <left/>
      <right/>
      <top/>
      <bottom/>
      <diagonal/>
    </border>
    <border>
      <left/>
      <right/>
      <top/>
      <bottom style="thin">
        <color indexed="64"/>
      </bottom>
      <diagonal/>
    </border>
    <border>
      <left/>
      <right/>
      <top/>
      <bottom style="thin">
        <color theme="0" tint="-0.14996795556505021"/>
      </bottom>
      <diagonal/>
    </border>
    <border>
      <left/>
      <right/>
      <top style="thin">
        <color theme="0" tint="-0.14996795556505021"/>
      </top>
      <bottom style="thin">
        <color theme="0" tint="-0.14996795556505021"/>
      </bottom>
      <diagonal/>
    </border>
    <border>
      <left/>
      <right/>
      <top style="thin">
        <color theme="0" tint="-0.14996795556505021"/>
      </top>
      <bottom style="thin">
        <color theme="0" tint="-0.14993743705557422"/>
      </bottom>
      <diagonal/>
    </border>
    <border>
      <left/>
      <right/>
      <top style="thin">
        <color theme="0" tint="-0.14996795556505021"/>
      </top>
      <bottom/>
      <diagonal/>
    </border>
    <border>
      <left/>
      <right/>
      <top/>
      <bottom style="medium">
        <color theme="1" tint="0.34998626667073579"/>
      </bottom>
      <diagonal/>
    </border>
    <border>
      <left style="thin">
        <color indexed="64"/>
      </left>
      <right/>
      <top/>
      <bottom/>
      <diagonal/>
    </border>
  </borders>
  <cellStyleXfs count="1">
    <xf numFmtId="0" fontId="0" fillId="0" borderId="0"/>
  </cellStyleXfs>
  <cellXfs count="46">
    <xf numFmtId="0" fontId="0" fillId="0" borderId="0" xfId="0"/>
    <xf numFmtId="0" fontId="3" fillId="0" borderId="0" xfId="0" applyFont="1"/>
    <xf numFmtId="0" fontId="0" fillId="2" borderId="0" xfId="0" applyFill="1"/>
    <xf numFmtId="0" fontId="4" fillId="2" borderId="0" xfId="0" applyFont="1" applyFill="1"/>
    <xf numFmtId="0" fontId="0" fillId="0" borderId="1" xfId="0" applyBorder="1"/>
    <xf numFmtId="49" fontId="5" fillId="3" borderId="0" xfId="0" applyNumberFormat="1" applyFont="1" applyFill="1" applyAlignment="1">
      <alignment horizontal="left" vertical="center" wrapText="1"/>
    </xf>
    <xf numFmtId="0" fontId="4" fillId="4" borderId="2" xfId="0" applyFont="1" applyFill="1" applyBorder="1" applyAlignment="1" applyProtection="1">
      <alignment horizontal="center" vertical="center" wrapText="1"/>
      <protection locked="0"/>
    </xf>
    <xf numFmtId="0" fontId="7" fillId="0" borderId="0" xfId="0" applyFont="1"/>
    <xf numFmtId="0" fontId="6" fillId="5" borderId="0" xfId="0" applyFont="1" applyFill="1" applyAlignment="1">
      <alignment horizontal="center" vertical="center" wrapText="1"/>
    </xf>
    <xf numFmtId="0" fontId="0" fillId="6" borderId="0" xfId="0" applyFill="1"/>
    <xf numFmtId="0" fontId="0" fillId="7" borderId="2" xfId="0" applyFill="1" applyBorder="1"/>
    <xf numFmtId="0" fontId="8" fillId="7" borderId="3" xfId="0" quotePrefix="1" applyFont="1" applyFill="1" applyBorder="1"/>
    <xf numFmtId="0" fontId="8" fillId="7" borderId="3" xfId="0" applyFont="1" applyFill="1" applyBorder="1"/>
    <xf numFmtId="0" fontId="0" fillId="7" borderId="3" xfId="0" applyFill="1" applyBorder="1"/>
    <xf numFmtId="0" fontId="0" fillId="7" borderId="0" xfId="0" applyFill="1"/>
    <xf numFmtId="0" fontId="0" fillId="7" borderId="4" xfId="0" applyFill="1" applyBorder="1"/>
    <xf numFmtId="0" fontId="0" fillId="7" borderId="2" xfId="0" quotePrefix="1" applyFill="1" applyBorder="1"/>
    <xf numFmtId="0" fontId="0" fillId="7" borderId="3" xfId="0" quotePrefix="1" applyFill="1" applyBorder="1"/>
    <xf numFmtId="0" fontId="0" fillId="7" borderId="5" xfId="0" applyFill="1" applyBorder="1"/>
    <xf numFmtId="0" fontId="0" fillId="7" borderId="3" xfId="0" applyFill="1" applyBorder="1" applyAlignment="1">
      <alignment horizontal="left" indent="1"/>
    </xf>
    <xf numFmtId="0" fontId="0" fillId="7" borderId="3" xfId="0" applyFill="1" applyBorder="1" applyAlignment="1">
      <alignment horizontal="left" indent="2"/>
    </xf>
    <xf numFmtId="0" fontId="9" fillId="7" borderId="3" xfId="0" applyFont="1" applyFill="1" applyBorder="1"/>
    <xf numFmtId="0" fontId="2" fillId="7" borderId="3" xfId="0" applyFont="1" applyFill="1" applyBorder="1"/>
    <xf numFmtId="0" fontId="1" fillId="7" borderId="3" xfId="0" applyFont="1" applyFill="1" applyBorder="1"/>
    <xf numFmtId="14" fontId="0" fillId="0" borderId="0" xfId="0" applyNumberFormat="1"/>
    <xf numFmtId="0" fontId="6" fillId="6" borderId="0" xfId="0" applyFont="1" applyFill="1" applyAlignment="1">
      <alignment horizontal="center" vertical="center" wrapText="1"/>
    </xf>
    <xf numFmtId="14" fontId="6" fillId="6" borderId="0" xfId="0" applyNumberFormat="1" applyFont="1" applyFill="1" applyAlignment="1">
      <alignment horizontal="center" vertical="center" wrapText="1"/>
    </xf>
    <xf numFmtId="0" fontId="12" fillId="8" borderId="0" xfId="0" applyFont="1" applyFill="1"/>
    <xf numFmtId="0" fontId="12" fillId="8" borderId="0" xfId="0" applyFont="1" applyFill="1" applyAlignment="1">
      <alignment horizontal="left" vertical="center"/>
    </xf>
    <xf numFmtId="0" fontId="12" fillId="8" borderId="0" xfId="0" applyFont="1" applyFill="1" applyAlignment="1">
      <alignment horizontal="center" vertical="center"/>
    </xf>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164" fontId="0" fillId="0" borderId="0" xfId="0" applyNumberFormat="1"/>
    <xf numFmtId="0" fontId="0" fillId="0" borderId="0" xfId="0" applyAlignment="1">
      <alignment horizontal="right"/>
    </xf>
    <xf numFmtId="9" fontId="0" fillId="0" borderId="0" xfId="0" applyNumberFormat="1"/>
    <xf numFmtId="3" fontId="0" fillId="0" borderId="0" xfId="0" applyNumberFormat="1"/>
    <xf numFmtId="1" fontId="0" fillId="0" borderId="0" xfId="0" applyNumberFormat="1"/>
    <xf numFmtId="165" fontId="0" fillId="0" borderId="0" xfId="0" applyNumberFormat="1"/>
    <xf numFmtId="0" fontId="11" fillId="8" borderId="0" xfId="0" applyFont="1" applyFill="1"/>
    <xf numFmtId="0" fontId="13" fillId="0" borderId="6" xfId="0" applyFont="1" applyBorder="1"/>
    <xf numFmtId="0" fontId="0" fillId="0" borderId="0" xfId="0" applyAlignment="1">
      <alignment horizontal="center"/>
    </xf>
    <xf numFmtId="0" fontId="0" fillId="8" borderId="7" xfId="0" applyFill="1" applyBorder="1"/>
    <xf numFmtId="0" fontId="0" fillId="0" borderId="7" xfId="0" applyBorder="1"/>
    <xf numFmtId="0" fontId="0" fillId="0" borderId="0" xfId="0" applyNumberFormat="1"/>
  </cellXfs>
  <cellStyles count="1">
    <cellStyle name="Normal" xfId="0" builtinId="0" customBuiltin="1"/>
  </cellStyles>
  <dxfs count="43">
    <dxf>
      <font>
        <b val="0"/>
        <i val="0"/>
        <strike val="0"/>
        <condense val="0"/>
        <extend val="0"/>
        <outline val="0"/>
        <shadow val="0"/>
        <u val="none"/>
        <vertAlign val="baseline"/>
        <sz val="8"/>
        <color theme="1"/>
        <name val="Arial"/>
        <family val="2"/>
        <scheme val="none"/>
      </font>
    </dxf>
    <dxf>
      <border outline="0">
        <bottom style="medium">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font>
        <b/>
        <i val="0"/>
        <strike val="0"/>
        <condense val="0"/>
        <extend val="0"/>
        <outline val="0"/>
        <shadow val="0"/>
        <u val="none"/>
        <vertAlign val="baseline"/>
        <sz val="10"/>
        <color indexed="9"/>
        <name val="Arial"/>
        <family val="2"/>
        <scheme val="minor"/>
      </font>
      <fill>
        <patternFill patternType="solid">
          <fgColor indexed="64"/>
          <bgColor theme="1" tint="0.34998626667073579"/>
        </patternFill>
      </fill>
      <alignment horizontal="center" vertical="center" textRotation="0" wrapText="1" indent="0" justifyLastLine="0" shrinkToFit="0" readingOrder="0"/>
    </dxf>
    <dxf>
      <alignment horizontal="right"/>
    </dxf>
    <dxf>
      <alignment horizontal="center"/>
    </dxf>
    <dxf>
      <alignment horizontal="center"/>
    </dxf>
    <dxf>
      <alignment horizontal="right"/>
    </dxf>
    <dxf>
      <alignment horizontal="general"/>
    </dxf>
    <dxf>
      <numFmt numFmtId="165" formatCode="0.0%"/>
    </dxf>
    <dxf>
      <numFmt numFmtId="14" formatCode="0.00%"/>
    </dxf>
    <dxf>
      <alignment horizontal="right"/>
    </dxf>
    <dxf>
      <alignment horizontal="right"/>
    </dxf>
    <dxf>
      <alignment horizontal="right"/>
    </dxf>
    <dxf>
      <numFmt numFmtId="1" formatCode="0"/>
    </dxf>
    <dxf>
      <numFmt numFmtId="3" formatCode="#,##0"/>
    </dxf>
    <dxf>
      <numFmt numFmtId="0" formatCode="General"/>
    </dxf>
    <dxf>
      <alignment horizontal="right"/>
    </dxf>
    <dxf>
      <alignment horizontal="right"/>
    </dxf>
    <dxf>
      <alignment horizontal="right"/>
    </dxf>
    <dxf>
      <numFmt numFmtId="13" formatCode="0%"/>
    </dxf>
    <dxf>
      <numFmt numFmtId="14" formatCode="0.00%"/>
    </dxf>
    <dxf>
      <alignment horizontal="right"/>
    </dxf>
    <dxf>
      <alignment horizontal="right"/>
    </dxf>
    <dxf>
      <border>
        <bottom style="medium">
          <color auto="1"/>
        </bottom>
      </border>
    </dxf>
    <dxf>
      <font>
        <b/>
        <color theme="1"/>
      </font>
      <border>
        <bottom style="thin">
          <color theme="6"/>
        </bottom>
        <vertical/>
        <horizontal/>
      </border>
    </dxf>
    <dxf>
      <font>
        <color theme="1"/>
      </font>
      <border diagonalUp="0" diagonalDown="0">
        <left/>
        <right/>
        <top/>
        <bottom/>
        <vertical/>
        <horizontal/>
      </border>
    </dxf>
    <dxf>
      <border>
        <top style="thin">
          <color theme="1" tint="0.499984740745262"/>
        </top>
        <bottom style="thin">
          <color theme="1" tint="0.499984740745262"/>
        </bottom>
        <vertical style="thick">
          <color theme="0"/>
        </vertical>
      </border>
    </dxf>
    <dxf>
      <border>
        <top/>
        <bottom style="thin">
          <color theme="1" tint="0.499984740745262"/>
        </bottom>
      </border>
    </dxf>
    <dxf>
      <font>
        <b/>
        <color theme="1" tint="0.499984740745262"/>
      </font>
    </dxf>
    <dxf>
      <font>
        <b/>
        <color theme="1"/>
      </font>
    </dxf>
    <dxf>
      <font>
        <b/>
        <color theme="1" tint="0.499984740745262"/>
      </font>
    </dxf>
    <dxf>
      <font>
        <b/>
        <color theme="1"/>
      </font>
    </dxf>
    <dxf>
      <fill>
        <patternFill patternType="solid">
          <fgColor theme="0" tint="-0.14999847407452621"/>
          <bgColor theme="0" tint="-0.14999847407452621"/>
        </patternFill>
      </fill>
      <border>
        <left style="thin">
          <color theme="0" tint="-0.34998626667073579"/>
        </left>
        <right style="thin">
          <color theme="0" tint="-0.34998626667073579"/>
        </right>
        <top/>
        <bottom style="thin">
          <color theme="0" tint="-0.34998626667073579"/>
        </bottom>
        <vertical style="thin">
          <color theme="0" tint="-0.34998626667073579"/>
        </vertical>
        <horizontal style="thin">
          <color theme="0" tint="-0.34998626667073579"/>
        </horizontal>
      </border>
    </dxf>
    <dxf>
      <fill>
        <patternFill patternType="solid">
          <fgColor theme="0" tint="-0.14999847407452621"/>
          <bgColor theme="0" tint="-0.14999847407452621"/>
        </patternFill>
      </fill>
      <border>
        <top/>
        <bottom style="thin">
          <color theme="0" tint="-0.34998626667073579"/>
        </bottom>
      </border>
    </dxf>
    <dxf>
      <font>
        <b/>
        <color theme="1"/>
      </font>
      <fill>
        <patternFill patternType="solid">
          <fgColor theme="0"/>
          <bgColor theme="0"/>
        </patternFill>
      </fill>
      <border>
        <top style="thin">
          <color theme="1" tint="0.499984740745262"/>
        </top>
        <bottom style="thin">
          <color theme="1" tint="0.499984740745262"/>
        </bottom>
      </border>
    </dxf>
    <dxf>
      <font>
        <b/>
        <color theme="1"/>
      </font>
      <border>
        <top/>
        <bottom style="thin">
          <color theme="1" tint="0.499984740745262"/>
        </bottom>
      </border>
    </dxf>
    <dxf>
      <font>
        <color theme="1"/>
      </font>
      <border>
        <left style="thin">
          <color theme="0"/>
        </left>
        <right style="thin">
          <color theme="0"/>
        </right>
        <top style="thin">
          <color theme="0"/>
        </top>
        <vertical style="thick">
          <color theme="0"/>
        </vertical>
        <horizontal style="thin">
          <color theme="0" tint="-0.14999847407452621"/>
        </horizontal>
      </border>
    </dxf>
  </dxfs>
  <tableStyles count="3" defaultPivotStyle="PivotStyleLight16">
    <tableStyle name="MyPivotStyle" table="0" count="11" xr9:uid="{00000000-0011-0000-FFFF-FFFF00000000}">
      <tableStyleElement type="wholeTable" dxfId="42"/>
      <tableStyleElement type="headerRow" dxfId="41"/>
      <tableStyleElement type="totalRow" dxfId="40"/>
      <tableStyleElement type="firstRowStripe" dxfId="39"/>
      <tableStyleElement type="firstColumnStripe" dxfId="38"/>
      <tableStyleElement type="firstSubtotalRow" dxfId="37"/>
      <tableStyleElement type="secondSubtotalRow" dxfId="36"/>
      <tableStyleElement type="firstRowSubheading" dxfId="35"/>
      <tableStyleElement type="secondRowSubheading" dxfId="34"/>
      <tableStyleElement type="pageFieldLabels" dxfId="33"/>
      <tableStyleElement type="pageFieldValues" dxfId="32"/>
    </tableStyle>
    <tableStyle name="MySlicer" pivot="0" table="0" count="10" xr9:uid="{00000000-0011-0000-FFFF-FFFF01000000}">
      <tableStyleElement type="wholeTable" dxfId="31"/>
      <tableStyleElement type="headerRow" dxfId="30"/>
    </tableStyle>
    <tableStyle name="Table Style 1" pivot="0" count="1" xr9:uid="{00000000-0011-0000-FFFF-FFFF02000000}">
      <tableStyleElement type="wholeTable" dxfId="29"/>
    </tableStyle>
  </tableStyles>
  <colors>
    <mruColors>
      <color rgb="FFFBFBFB"/>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6" tint="0.59999389629810485"/>
              <bgColor theme="1" tint="0.49998474074526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BFBFB"/>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My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[Monthly_Sales_Reporting_Template_Tool.xlsm]RegionTemp!PTRegion</c:name>
    <c:fmtId val="1"/>
  </c:pivotSource>
  <c:chart>
    <c:autoTitleDeleted val="0"/>
    <c:pivotFmts>
      <c:pivotFmt>
        <c:idx val="0"/>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marker>
          <c:symbol val="none"/>
        </c:marker>
        <c:dLbl>
          <c:idx val="0"/>
          <c:delete val="1"/>
          <c:extLst>
            <c:ext xmlns:c15="http://schemas.microsoft.com/office/drawing/2012/chart" uri="{CE6537A1-D6FC-4f65-9D91-7224C49458BB}"/>
          </c:extLst>
        </c:dLbl>
      </c:pivotFmt>
    </c:pivotFmts>
    <c:plotArea>
      <c:layout>
        <c:manualLayout>
          <c:layoutTarget val="inner"/>
          <c:xMode val="edge"/>
          <c:yMode val="edge"/>
          <c:x val="0.25085503112063978"/>
          <c:y val="6.1819357760127938E-2"/>
          <c:w val="0.57060194665745445"/>
          <c:h val="0.87636101345027562"/>
        </c:manualLayout>
      </c:layout>
      <c:barChart>
        <c:barDir val="bar"/>
        <c:grouping val="clustered"/>
        <c:varyColors val="0"/>
        <c:ser>
          <c:idx val="0"/>
          <c:order val="0"/>
          <c:tx>
            <c:strRef>
              <c:f>RegionTemp!$U$4</c:f>
              <c:strCache>
                <c:ptCount val="1"/>
                <c:pt idx="0">
                  <c:v>$ Sales</c:v>
                </c:pt>
              </c:strCache>
            </c:strRef>
          </c:tx>
          <c:spPr>
            <a:solidFill>
              <a:schemeClr val="bg2">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RegionTemp!$T$5:$T$7</c:f>
              <c:strCache>
                <c:ptCount val="2"/>
                <c:pt idx="0">
                  <c:v>Erma</c:v>
                </c:pt>
                <c:pt idx="1">
                  <c:v>Dellicia</c:v>
                </c:pt>
              </c:strCache>
            </c:strRef>
          </c:cat>
          <c:val>
            <c:numRef>
              <c:f>RegionTemp!$U$5:$U$7</c:f>
              <c:numCache>
                <c:formatCode>"$"#,##0</c:formatCode>
                <c:ptCount val="2"/>
                <c:pt idx="0">
                  <c:v>43240</c:v>
                </c:pt>
                <c:pt idx="1">
                  <c:v>42500</c:v>
                </c:pt>
              </c:numCache>
            </c:numRef>
          </c:val>
          <c:extLst>
            <c:ext xmlns:c16="http://schemas.microsoft.com/office/drawing/2014/chart" uri="{C3380CC4-5D6E-409C-BE32-E72D297353CC}">
              <c16:uniqueId val="{0000000C-DFCA-45C9-AF82-A132D261C6D5}"/>
            </c:ext>
          </c:extLst>
        </c:ser>
        <c:dLbls>
          <c:showLegendKey val="0"/>
          <c:showVal val="0"/>
          <c:showCatName val="0"/>
          <c:showSerName val="0"/>
          <c:showPercent val="0"/>
          <c:showBubbleSize val="0"/>
        </c:dLbls>
        <c:gapWidth val="80"/>
        <c:axId val="996850144"/>
        <c:axId val="996852112"/>
      </c:barChart>
      <c:barChart>
        <c:barDir val="bar"/>
        <c:grouping val="clustered"/>
        <c:varyColors val="0"/>
        <c:ser>
          <c:idx val="1"/>
          <c:order val="1"/>
          <c:tx>
            <c:strRef>
              <c:f>RegionTemp!$V$4</c:f>
              <c:strCache>
                <c:ptCount val="1"/>
                <c:pt idx="0">
                  <c:v> </c:v>
                </c:pt>
              </c:strCache>
            </c:strRef>
          </c:tx>
          <c:spPr>
            <a:solidFill>
              <a:schemeClr val="accent2"/>
            </a:solidFill>
            <a:ln>
              <a:noFill/>
            </a:ln>
            <a:effectLst/>
          </c:spPr>
          <c:invertIfNegative val="0"/>
          <c:cat>
            <c:strRef>
              <c:f>RegionTemp!$T$5:$T$7</c:f>
              <c:strCache>
                <c:ptCount val="2"/>
                <c:pt idx="0">
                  <c:v>Erma</c:v>
                </c:pt>
                <c:pt idx="1">
                  <c:v>Dellicia</c:v>
                </c:pt>
              </c:strCache>
            </c:strRef>
          </c:cat>
          <c:val>
            <c:numRef>
              <c:f>RegionTemp!$V$5:$V$7</c:f>
              <c:numCache>
                <c:formatCode>0%</c:formatCode>
                <c:ptCount val="2"/>
                <c:pt idx="0">
                  <c:v>0.50431537205505017</c:v>
                </c:pt>
                <c:pt idx="1">
                  <c:v>0.49568462794494983</c:v>
                </c:pt>
              </c:numCache>
            </c:numRef>
          </c:val>
          <c:extLst>
            <c:ext xmlns:c16="http://schemas.microsoft.com/office/drawing/2014/chart" uri="{C3380CC4-5D6E-409C-BE32-E72D297353CC}">
              <c16:uniqueId val="{0000000E-DFCA-45C9-AF82-A132D261C6D5}"/>
            </c:ext>
          </c:extLst>
        </c:ser>
        <c:dLbls>
          <c:showLegendKey val="0"/>
          <c:showVal val="0"/>
          <c:showCatName val="0"/>
          <c:showSerName val="0"/>
          <c:showPercent val="0"/>
          <c:showBubbleSize val="0"/>
        </c:dLbls>
        <c:gapWidth val="80"/>
        <c:axId val="1004671952"/>
        <c:axId val="1004670640"/>
      </c:barChart>
      <c:catAx>
        <c:axId val="99685014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996852112"/>
        <c:crosses val="autoZero"/>
        <c:auto val="1"/>
        <c:lblAlgn val="ctr"/>
        <c:lblOffset val="100"/>
        <c:noMultiLvlLbl val="0"/>
      </c:catAx>
      <c:valAx>
        <c:axId val="996852112"/>
        <c:scaling>
          <c:orientation val="minMax"/>
        </c:scaling>
        <c:delete val="1"/>
        <c:axPos val="t"/>
        <c:numFmt formatCode="&quot;$&quot;#,##0" sourceLinked="1"/>
        <c:majorTickMark val="none"/>
        <c:minorTickMark val="none"/>
        <c:tickLblPos val="nextTo"/>
        <c:crossAx val="996850144"/>
        <c:crosses val="autoZero"/>
        <c:crossBetween val="between"/>
      </c:valAx>
      <c:valAx>
        <c:axId val="1004670640"/>
        <c:scaling>
          <c:orientation val="minMax"/>
        </c:scaling>
        <c:delete val="1"/>
        <c:axPos val="b"/>
        <c:numFmt formatCode="0%" sourceLinked="1"/>
        <c:majorTickMark val="out"/>
        <c:minorTickMark val="none"/>
        <c:tickLblPos val="nextTo"/>
        <c:crossAx val="1004671952"/>
        <c:crosses val="autoZero"/>
        <c:crossBetween val="between"/>
      </c:valAx>
      <c:catAx>
        <c:axId val="1004671952"/>
        <c:scaling>
          <c:orientation val="minMax"/>
        </c:scaling>
        <c:delete val="1"/>
        <c:axPos val="l"/>
        <c:numFmt formatCode="General" sourceLinked="1"/>
        <c:majorTickMark val="out"/>
        <c:minorTickMark val="none"/>
        <c:tickLblPos val="nextTo"/>
        <c:crossAx val="1004670640"/>
        <c:crosses val="autoZero"/>
        <c:auto val="1"/>
        <c:lblAlgn val="ctr"/>
        <c:lblOffset val="100"/>
        <c:noMultiLvlLbl val="0"/>
      </c:catAx>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9.sv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svg"/><Relationship Id="rId1" Type="http://schemas.openxmlformats.org/officeDocument/2006/relationships/image" Target="../media/image2.png"/><Relationship Id="rId6" Type="http://schemas.openxmlformats.org/officeDocument/2006/relationships/image" Target="../media/image7.svg"/><Relationship Id="rId5" Type="http://schemas.openxmlformats.org/officeDocument/2006/relationships/image" Target="../media/image6.png"/><Relationship Id="rId10" Type="http://schemas.openxmlformats.org/officeDocument/2006/relationships/image" Target="../media/image11.svg"/><Relationship Id="rId4" Type="http://schemas.openxmlformats.org/officeDocument/2006/relationships/image" Target="../media/image5.svg"/><Relationship Id="rId9" Type="http://schemas.openxmlformats.org/officeDocument/2006/relationships/image" Target="../media/image10.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188768</xdr:colOff>
          <xdr:row>14</xdr:row>
          <xdr:rowOff>128732</xdr:rowOff>
        </xdr:from>
        <xdr:to>
          <xdr:col>6</xdr:col>
          <xdr:colOff>640773</xdr:colOff>
          <xdr:row>16</xdr:row>
          <xdr:rowOff>28864</xdr:rowOff>
        </xdr:to>
        <xdr:sp macro="" textlink="">
          <xdr:nvSpPr>
            <xdr:cNvPr id="1027" name="AxRegion"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1</xdr:col>
      <xdr:colOff>11544</xdr:colOff>
      <xdr:row>0</xdr:row>
      <xdr:rowOff>121227</xdr:rowOff>
    </xdr:from>
    <xdr:ext cx="4788478" cy="298800"/>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288635" y="121227"/>
          <a:ext cx="4788478" cy="29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a:solidFill>
                <a:schemeClr val="tx1">
                  <a:lumMod val="85000"/>
                  <a:lumOff val="15000"/>
                </a:schemeClr>
              </a:solidFill>
            </a:rPr>
            <a:t>Monthly</a:t>
          </a:r>
          <a:r>
            <a:rPr lang="en-US" sz="1400" baseline="0">
              <a:solidFill>
                <a:schemeClr val="tx1">
                  <a:lumMod val="85000"/>
                  <a:lumOff val="15000"/>
                </a:schemeClr>
              </a:solidFill>
            </a:rPr>
            <a:t> Sales Reporting Data Preparation Template</a:t>
          </a:r>
          <a:endParaRPr lang="en-US" sz="1400">
            <a:solidFill>
              <a:schemeClr val="tx1">
                <a:lumMod val="85000"/>
                <a:lumOff val="15000"/>
              </a:schemeClr>
            </a:solidFill>
          </a:endParaRPr>
        </a:p>
      </xdr:txBody>
    </xdr:sp>
    <xdr:clientData/>
  </xdr:oneCellAnchor>
  <xdr:twoCellAnchor editAs="oneCell">
    <xdr:from>
      <xdr:col>0</xdr:col>
      <xdr:colOff>265545</xdr:colOff>
      <xdr:row>2</xdr:row>
      <xdr:rowOff>11545</xdr:rowOff>
    </xdr:from>
    <xdr:to>
      <xdr:col>3</xdr:col>
      <xdr:colOff>101024</xdr:colOff>
      <xdr:row>9</xdr:row>
      <xdr:rowOff>3753</xdr:rowOff>
    </xdr:to>
    <xdr:sp macro="" textlink="">
      <xdr:nvSpPr>
        <xdr:cNvPr id="3" name="Rectangle: Top Corners One Rounded and One Snipped 2">
          <a:extLst>
            <a:ext uri="{FF2B5EF4-FFF2-40B4-BE49-F238E27FC236}">
              <a16:creationId xmlns:a16="http://schemas.microsoft.com/office/drawing/2014/main" id="{00000000-0008-0000-0000-000003000000}"/>
            </a:ext>
          </a:extLst>
        </xdr:cNvPr>
        <xdr:cNvSpPr/>
      </xdr:nvSpPr>
      <xdr:spPr>
        <a:xfrm>
          <a:off x="265545" y="519545"/>
          <a:ext cx="2133024" cy="1123663"/>
        </a:xfrm>
        <a:prstGeom prst="snipRoundRect">
          <a:avLst/>
        </a:prstGeom>
        <a:solidFill>
          <a:schemeClr val="accent4">
            <a:lumMod val="20000"/>
            <a:lumOff val="80000"/>
          </a:schemeClr>
        </a:solidFill>
        <a:ln>
          <a:solidFill>
            <a:schemeClr val="accent4">
              <a:lumMod val="40000"/>
              <a:lumOff val="60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sz="1050"/>
            <a:t>Import Sales data from Sales</a:t>
          </a:r>
          <a:r>
            <a:rPr lang="en-US" sz="1050" baseline="0"/>
            <a:t> Document templates for one or more companies in one go</a:t>
          </a:r>
          <a:r>
            <a:rPr lang="en-US" sz="900" baseline="0"/>
            <a:t>. </a:t>
          </a:r>
          <a:r>
            <a:rPr lang="en-US" sz="900" b="0" i="1" baseline="0"/>
            <a:t>(Note: Browse and find the files - file name starts with "Sales_Document_xxx") </a:t>
          </a:r>
          <a:r>
            <a:rPr lang="en-US" sz="900" b="0" i="1"/>
            <a:t> </a:t>
          </a:r>
        </a:p>
      </xdr:txBody>
    </xdr:sp>
    <xdr:clientData/>
  </xdr:twoCellAnchor>
  <xdr:twoCellAnchor editAs="oneCell">
    <xdr:from>
      <xdr:col>3</xdr:col>
      <xdr:colOff>496454</xdr:colOff>
      <xdr:row>2</xdr:row>
      <xdr:rowOff>17318</xdr:rowOff>
    </xdr:from>
    <xdr:to>
      <xdr:col>7</xdr:col>
      <xdr:colOff>60614</xdr:colOff>
      <xdr:row>9</xdr:row>
      <xdr:rowOff>9526</xdr:rowOff>
    </xdr:to>
    <xdr:sp macro="" textlink="">
      <xdr:nvSpPr>
        <xdr:cNvPr id="4" name="Rectangle: Top Corners One Rounded and One Snipped 3">
          <a:extLst>
            <a:ext uri="{FF2B5EF4-FFF2-40B4-BE49-F238E27FC236}">
              <a16:creationId xmlns:a16="http://schemas.microsoft.com/office/drawing/2014/main" id="{00000000-0008-0000-0000-000004000000}"/>
            </a:ext>
          </a:extLst>
        </xdr:cNvPr>
        <xdr:cNvSpPr/>
      </xdr:nvSpPr>
      <xdr:spPr>
        <a:xfrm>
          <a:off x="2793999" y="525318"/>
          <a:ext cx="2133024" cy="1123663"/>
        </a:xfrm>
        <a:prstGeom prst="snipRoundRect">
          <a:avLst/>
        </a:prstGeom>
        <a:solidFill>
          <a:schemeClr val="accent4">
            <a:lumMod val="20000"/>
            <a:lumOff val="80000"/>
          </a:schemeClr>
        </a:solidFill>
        <a:ln>
          <a:solidFill>
            <a:schemeClr val="accent4">
              <a:lumMod val="40000"/>
              <a:lumOff val="60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r>
            <a:rPr lang="en-US" sz="1100">
              <a:solidFill>
                <a:schemeClr val="dk1"/>
              </a:solidFill>
              <a:effectLst/>
              <a:latin typeface="+mn-lt"/>
              <a:ea typeface="+mn-ea"/>
              <a:cs typeface="+mn-cs"/>
            </a:rPr>
            <a:t>Generate</a:t>
          </a:r>
          <a:r>
            <a:rPr lang="en-US" sz="1100" baseline="0">
              <a:solidFill>
                <a:schemeClr val="dk1"/>
              </a:solidFill>
              <a:effectLst/>
              <a:latin typeface="+mn-lt"/>
              <a:ea typeface="+mn-ea"/>
              <a:cs typeface="+mn-cs"/>
            </a:rPr>
            <a:t> the Regional &amp; Manager Reports for each region. </a:t>
          </a:r>
          <a:r>
            <a:rPr lang="en-US" sz="900" i="1" baseline="0">
              <a:solidFill>
                <a:schemeClr val="dk1"/>
              </a:solidFill>
              <a:effectLst/>
              <a:latin typeface="+mn-lt"/>
              <a:ea typeface="+mn-ea"/>
              <a:cs typeface="+mn-cs"/>
            </a:rPr>
            <a:t>(Create a pivot based Excel file for Regional managers and a hardcoded file for Top managers)</a:t>
          </a:r>
          <a:endParaRPr lang="en-PH" sz="1050">
            <a:effectLst/>
          </a:endParaRPr>
        </a:p>
      </xdr:txBody>
    </xdr:sp>
    <xdr:clientData/>
  </xdr:twoCellAnchor>
  <xdr:twoCellAnchor editAs="oneCell">
    <xdr:from>
      <xdr:col>8</xdr:col>
      <xdr:colOff>140853</xdr:colOff>
      <xdr:row>2</xdr:row>
      <xdr:rowOff>13855</xdr:rowOff>
    </xdr:from>
    <xdr:to>
      <xdr:col>11</xdr:col>
      <xdr:colOff>368877</xdr:colOff>
      <xdr:row>9</xdr:row>
      <xdr:rowOff>6063</xdr:rowOff>
    </xdr:to>
    <xdr:sp macro="" textlink="">
      <xdr:nvSpPr>
        <xdr:cNvPr id="5" name="Rectangle: Top Corners One Rounded and One Snipped 4">
          <a:extLst>
            <a:ext uri="{FF2B5EF4-FFF2-40B4-BE49-F238E27FC236}">
              <a16:creationId xmlns:a16="http://schemas.microsoft.com/office/drawing/2014/main" id="{00000000-0008-0000-0000-000005000000}"/>
            </a:ext>
          </a:extLst>
        </xdr:cNvPr>
        <xdr:cNvSpPr/>
      </xdr:nvSpPr>
      <xdr:spPr>
        <a:xfrm>
          <a:off x="5330535" y="521855"/>
          <a:ext cx="2133024" cy="1123663"/>
        </a:xfrm>
        <a:prstGeom prst="snipRoundRect">
          <a:avLst/>
        </a:prstGeom>
        <a:solidFill>
          <a:schemeClr val="accent4">
            <a:lumMod val="20000"/>
            <a:lumOff val="80000"/>
          </a:schemeClr>
        </a:solidFill>
        <a:ln>
          <a:solidFill>
            <a:schemeClr val="accent4">
              <a:lumMod val="40000"/>
              <a:lumOff val="60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r>
            <a:rPr lang="en-US" sz="1100">
              <a:solidFill>
                <a:schemeClr val="dk1"/>
              </a:solidFill>
              <a:effectLst/>
              <a:latin typeface="+mn-lt"/>
              <a:ea typeface="+mn-ea"/>
              <a:cs typeface="+mn-cs"/>
            </a:rPr>
            <a:t>Create CSV file</a:t>
          </a:r>
          <a:r>
            <a:rPr lang="en-US" sz="1100" baseline="0">
              <a:solidFill>
                <a:schemeClr val="dk1"/>
              </a:solidFill>
              <a:effectLst/>
              <a:latin typeface="+mn-lt"/>
              <a:ea typeface="+mn-ea"/>
              <a:cs typeface="+mn-cs"/>
            </a:rPr>
            <a:t> of ALL data for the current month to be uploaded to the central system for year-to-date reporting (e.g. SAP)</a:t>
          </a:r>
          <a:endParaRPr lang="en-PH">
            <a:effectLst/>
          </a:endParaRPr>
        </a:p>
      </xdr:txBody>
    </xdr:sp>
    <xdr:clientData/>
  </xdr:twoCellAnchor>
  <xdr:twoCellAnchor editAs="oneCell">
    <xdr:from>
      <xdr:col>12</xdr:col>
      <xdr:colOff>155864</xdr:colOff>
      <xdr:row>2</xdr:row>
      <xdr:rowOff>11545</xdr:rowOff>
    </xdr:from>
    <xdr:to>
      <xdr:col>15</xdr:col>
      <xdr:colOff>383888</xdr:colOff>
      <xdr:row>9</xdr:row>
      <xdr:rowOff>3753</xdr:rowOff>
    </xdr:to>
    <xdr:sp macro="" textlink="">
      <xdr:nvSpPr>
        <xdr:cNvPr id="6" name="Rectangle: Top Corners One Rounded and One Snipped 5">
          <a:extLst>
            <a:ext uri="{FF2B5EF4-FFF2-40B4-BE49-F238E27FC236}">
              <a16:creationId xmlns:a16="http://schemas.microsoft.com/office/drawing/2014/main" id="{00000000-0008-0000-0000-000006000000}"/>
            </a:ext>
          </a:extLst>
        </xdr:cNvPr>
        <xdr:cNvSpPr/>
      </xdr:nvSpPr>
      <xdr:spPr>
        <a:xfrm>
          <a:off x="7885546" y="519545"/>
          <a:ext cx="2133024" cy="1123663"/>
        </a:xfrm>
        <a:prstGeom prst="snipRoundRect">
          <a:avLst/>
        </a:prstGeom>
        <a:solidFill>
          <a:schemeClr val="accent4">
            <a:lumMod val="20000"/>
            <a:lumOff val="80000"/>
          </a:schemeClr>
        </a:solidFill>
        <a:ln>
          <a:solidFill>
            <a:schemeClr val="accent4">
              <a:lumMod val="40000"/>
              <a:lumOff val="60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r>
            <a:rPr lang="en-US" sz="1100" baseline="0">
              <a:solidFill>
                <a:schemeClr val="dk1"/>
              </a:solidFill>
              <a:effectLst/>
              <a:latin typeface="+mn-lt"/>
              <a:ea typeface="+mn-ea"/>
              <a:cs typeface="+mn-cs"/>
            </a:rPr>
            <a:t>Before working on the next month's data, clear values and start fresh. </a:t>
          </a:r>
          <a:endParaRPr lang="en-PH">
            <a:effectLst/>
          </a:endParaRPr>
        </a:p>
        <a:p>
          <a:r>
            <a:rPr lang="en-US" sz="1100" baseline="0">
              <a:solidFill>
                <a:schemeClr val="dk1"/>
              </a:solidFill>
              <a:effectLst/>
              <a:latin typeface="+mn-lt"/>
              <a:ea typeface="+mn-ea"/>
              <a:cs typeface="+mn-cs"/>
            </a:rPr>
            <a:t>Admin - opens up the hidden tabs in case problems arise.</a:t>
          </a:r>
          <a:endParaRPr lang="en-PH">
            <a:effectLst/>
          </a:endParaRPr>
        </a:p>
      </xdr:txBody>
    </xdr:sp>
    <xdr:clientData/>
  </xdr:twoCellAnchor>
  <xdr:twoCellAnchor>
    <xdr:from>
      <xdr:col>0</xdr:col>
      <xdr:colOff>196272</xdr:colOff>
      <xdr:row>10</xdr:row>
      <xdr:rowOff>11545</xdr:rowOff>
    </xdr:from>
    <xdr:to>
      <xdr:col>2</xdr:col>
      <xdr:colOff>947305</xdr:colOff>
      <xdr:row>15</xdr:row>
      <xdr:rowOff>51954</xdr:rowOff>
    </xdr:to>
    <xdr:grpSp>
      <xdr:nvGrpSpPr>
        <xdr:cNvPr id="22" name="Group 21">
          <a:extLst>
            <a:ext uri="{FF2B5EF4-FFF2-40B4-BE49-F238E27FC236}">
              <a16:creationId xmlns:a16="http://schemas.microsoft.com/office/drawing/2014/main" id="{64FD7449-65F7-F2AE-A92A-1F5C459AAEA5}"/>
            </a:ext>
          </a:extLst>
        </xdr:cNvPr>
        <xdr:cNvGrpSpPr/>
      </xdr:nvGrpSpPr>
      <xdr:grpSpPr>
        <a:xfrm>
          <a:off x="196272" y="1812636"/>
          <a:ext cx="1663124" cy="848591"/>
          <a:chOff x="196272" y="1812636"/>
          <a:chExt cx="1663124" cy="848591"/>
        </a:xfrm>
      </xdr:grpSpPr>
      <mc:AlternateContent xmlns:mc="http://schemas.openxmlformats.org/markup-compatibility/2006">
        <mc:Choice xmlns:a14="http://schemas.microsoft.com/office/drawing/2010/main" Requires="a14">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805296" y="2081647"/>
                <a:ext cx="1054100" cy="380423"/>
              </a:xfrm>
              <a:prstGeom prst="rect">
                <a:avLst/>
              </a:prstGeom>
              <a:noFill/>
              <a:ln w="9525">
                <a:miter lim="800000"/>
                <a:headEnd/>
                <a:tailEnd/>
              </a:ln>
            </xdr:spPr>
            <xdr:txBody>
              <a:bodyPr vertOverflow="clip" wrap="square" lIns="36576" tIns="32004" rIns="36576" bIns="32004" anchor="ctr" upright="1"/>
              <a:lstStyle/>
              <a:p>
                <a:pPr algn="ctr" rtl="0">
                  <a:defRPr sz="1000"/>
                </a:pPr>
                <a:r>
                  <a:rPr lang="en-PH" sz="1000" b="0" i="0" u="none" strike="noStrike" baseline="0">
                    <a:solidFill>
                      <a:srgbClr val="000000"/>
                    </a:solidFill>
                    <a:latin typeface="Arial"/>
                    <a:cs typeface="Arial"/>
                  </a:rPr>
                  <a:t>Import Data</a:t>
                </a:r>
              </a:p>
            </xdr:txBody>
          </xdr:sp>
        </mc:Choice>
        <mc:Fallback/>
      </mc:AlternateContent>
      <xdr:pic macro="[0]!Import_Sales">
        <xdr:nvPicPr>
          <xdr:cNvPr id="8" name="Graphic 7" descr="Open folder">
            <a:extLst>
              <a:ext uri="{FF2B5EF4-FFF2-40B4-BE49-F238E27FC236}">
                <a16:creationId xmlns:a16="http://schemas.microsoft.com/office/drawing/2014/main" id="{8A4892D3-1B12-1960-447A-21536C00986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6272" y="1812636"/>
            <a:ext cx="848591" cy="848591"/>
          </a:xfrm>
          <a:prstGeom prst="rect">
            <a:avLst/>
          </a:prstGeom>
        </xdr:spPr>
      </xdr:pic>
    </xdr:grpSp>
    <xdr:clientData/>
  </xdr:twoCellAnchor>
  <xdr:twoCellAnchor>
    <xdr:from>
      <xdr:col>3</xdr:col>
      <xdr:colOff>415635</xdr:colOff>
      <xdr:row>10</xdr:row>
      <xdr:rowOff>155863</xdr:rowOff>
    </xdr:from>
    <xdr:to>
      <xdr:col>6</xdr:col>
      <xdr:colOff>629228</xdr:colOff>
      <xdr:row>16</xdr:row>
      <xdr:rowOff>100445</xdr:rowOff>
    </xdr:to>
    <xdr:grpSp>
      <xdr:nvGrpSpPr>
        <xdr:cNvPr id="20" name="Group 19">
          <a:extLst>
            <a:ext uri="{FF2B5EF4-FFF2-40B4-BE49-F238E27FC236}">
              <a16:creationId xmlns:a16="http://schemas.microsoft.com/office/drawing/2014/main" id="{07C8C616-CFAA-D9F8-1C66-2FEF0ADA1350}"/>
            </a:ext>
          </a:extLst>
        </xdr:cNvPr>
        <xdr:cNvGrpSpPr/>
      </xdr:nvGrpSpPr>
      <xdr:grpSpPr>
        <a:xfrm>
          <a:off x="2713180" y="1956954"/>
          <a:ext cx="1887684" cy="914400"/>
          <a:chOff x="2713180" y="1956954"/>
          <a:chExt cx="1887684" cy="914400"/>
        </a:xfrm>
      </xdr:grpSpPr>
      <mc:AlternateContent xmlns:mc="http://schemas.openxmlformats.org/markup-compatibility/2006">
        <mc:Choice xmlns:a14="http://schemas.microsoft.com/office/drawing/2010/main" Requires="a14">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3400139" y="2135910"/>
                <a:ext cx="1200725" cy="329045"/>
              </a:xfrm>
              <a:prstGeom prst="rect">
                <a:avLst/>
              </a:prstGeom>
              <a:noFill/>
              <a:ln w="9525">
                <a:miter lim="800000"/>
                <a:headEnd/>
                <a:tailEnd/>
              </a:ln>
            </xdr:spPr>
            <xdr:txBody>
              <a:bodyPr vertOverflow="clip" wrap="square" lIns="36576" tIns="32004" rIns="36576" bIns="32004" anchor="ctr" upright="1"/>
              <a:lstStyle/>
              <a:p>
                <a:pPr algn="ctr" rtl="0">
                  <a:defRPr sz="1000"/>
                </a:pPr>
                <a:r>
                  <a:rPr lang="en-PH" sz="1000" b="0" i="0" u="none" strike="noStrike" baseline="0">
                    <a:solidFill>
                      <a:srgbClr val="000000"/>
                    </a:solidFill>
                    <a:latin typeface="Arial"/>
                    <a:cs typeface="Arial"/>
                  </a:rPr>
                  <a:t>     Create Report</a:t>
                </a:r>
              </a:p>
            </xdr:txBody>
          </xdr:sp>
        </mc:Choice>
        <mc:Fallback/>
      </mc:AlternateContent>
      <xdr:pic macro="[0]!Create_Report">
        <xdr:nvPicPr>
          <xdr:cNvPr id="10" name="Graphic 9" descr="Document">
            <a:extLst>
              <a:ext uri="{FF2B5EF4-FFF2-40B4-BE49-F238E27FC236}">
                <a16:creationId xmlns:a16="http://schemas.microsoft.com/office/drawing/2014/main" id="{4BAB873D-0148-D111-CADE-60DF3609F6A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713180" y="1956954"/>
            <a:ext cx="914400" cy="914400"/>
          </a:xfrm>
          <a:prstGeom prst="rect">
            <a:avLst/>
          </a:prstGeom>
        </xdr:spPr>
      </xdr:pic>
    </xdr:grpSp>
    <xdr:clientData/>
  </xdr:twoCellAnchor>
  <xdr:twoCellAnchor>
    <xdr:from>
      <xdr:col>8</xdr:col>
      <xdr:colOff>236681</xdr:colOff>
      <xdr:row>10</xdr:row>
      <xdr:rowOff>126999</xdr:rowOff>
    </xdr:from>
    <xdr:to>
      <xdr:col>11</xdr:col>
      <xdr:colOff>63500</xdr:colOff>
      <xdr:row>16</xdr:row>
      <xdr:rowOff>71581</xdr:rowOff>
    </xdr:to>
    <xdr:grpSp>
      <xdr:nvGrpSpPr>
        <xdr:cNvPr id="19" name="Group 18">
          <a:extLst>
            <a:ext uri="{FF2B5EF4-FFF2-40B4-BE49-F238E27FC236}">
              <a16:creationId xmlns:a16="http://schemas.microsoft.com/office/drawing/2014/main" id="{59E53061-BC8A-92C1-E36C-D2AD6C4D5C5B}"/>
            </a:ext>
          </a:extLst>
        </xdr:cNvPr>
        <xdr:cNvGrpSpPr/>
      </xdr:nvGrpSpPr>
      <xdr:grpSpPr>
        <a:xfrm>
          <a:off x="5426363" y="1928090"/>
          <a:ext cx="1731819" cy="914400"/>
          <a:chOff x="5426363" y="1928090"/>
          <a:chExt cx="1731819" cy="914400"/>
        </a:xfrm>
      </xdr:grpSpPr>
      <mc:AlternateContent xmlns:mc="http://schemas.openxmlformats.org/markup-compatibility/2006">
        <mc:Choice xmlns:a14="http://schemas.microsoft.com/office/drawing/2010/main" Requires="a14">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6109278" y="2091458"/>
                <a:ext cx="1048904" cy="405823"/>
              </a:xfrm>
              <a:prstGeom prst="rect">
                <a:avLst/>
              </a:prstGeom>
              <a:noFill/>
              <a:ln w="9525">
                <a:miter lim="800000"/>
                <a:headEnd/>
                <a:tailEnd/>
              </a:ln>
            </xdr:spPr>
            <xdr:txBody>
              <a:bodyPr vertOverflow="clip" wrap="square" lIns="36576" tIns="32004" rIns="36576" bIns="32004" anchor="ctr" upright="1"/>
              <a:lstStyle/>
              <a:p>
                <a:pPr algn="ctr" rtl="0">
                  <a:defRPr sz="1000"/>
                </a:pPr>
                <a:r>
                  <a:rPr lang="en-PH" sz="1000" b="0" i="0" u="none" strike="noStrike" baseline="0">
                    <a:solidFill>
                      <a:srgbClr val="000000"/>
                    </a:solidFill>
                    <a:latin typeface="Arial"/>
                    <a:cs typeface="Arial"/>
                  </a:rPr>
                  <a:t>Create CSV</a:t>
                </a:r>
              </a:p>
            </xdr:txBody>
          </xdr:sp>
        </mc:Choice>
        <mc:Fallback/>
      </mc:AlternateContent>
      <xdr:pic macro="[0]!Create_CSV">
        <xdr:nvPicPr>
          <xdr:cNvPr id="12" name="Graphic 11" descr="Paper">
            <a:extLst>
              <a:ext uri="{FF2B5EF4-FFF2-40B4-BE49-F238E27FC236}">
                <a16:creationId xmlns:a16="http://schemas.microsoft.com/office/drawing/2014/main" id="{A1520680-FAEC-3DC1-620B-70995CA1EF45}"/>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5426363" y="1928090"/>
            <a:ext cx="914400" cy="914400"/>
          </a:xfrm>
          <a:prstGeom prst="rect">
            <a:avLst/>
          </a:prstGeom>
        </xdr:spPr>
      </xdr:pic>
    </xdr:grpSp>
    <xdr:clientData/>
  </xdr:twoCellAnchor>
  <xdr:twoCellAnchor>
    <xdr:from>
      <xdr:col>12</xdr:col>
      <xdr:colOff>392545</xdr:colOff>
      <xdr:row>9</xdr:row>
      <xdr:rowOff>103908</xdr:rowOff>
    </xdr:from>
    <xdr:to>
      <xdr:col>15</xdr:col>
      <xdr:colOff>144319</xdr:colOff>
      <xdr:row>15</xdr:row>
      <xdr:rowOff>48490</xdr:rowOff>
    </xdr:to>
    <xdr:grpSp>
      <xdr:nvGrpSpPr>
        <xdr:cNvPr id="18" name="Group 17">
          <a:extLst>
            <a:ext uri="{FF2B5EF4-FFF2-40B4-BE49-F238E27FC236}">
              <a16:creationId xmlns:a16="http://schemas.microsoft.com/office/drawing/2014/main" id="{CF7B0739-4BDC-6342-8EB3-D1C04D508739}"/>
            </a:ext>
          </a:extLst>
        </xdr:cNvPr>
        <xdr:cNvGrpSpPr/>
      </xdr:nvGrpSpPr>
      <xdr:grpSpPr>
        <a:xfrm>
          <a:off x="8122227" y="1743363"/>
          <a:ext cx="1656774" cy="914400"/>
          <a:chOff x="8122227" y="1743363"/>
          <a:chExt cx="1656774" cy="914400"/>
        </a:xfrm>
      </xdr:grpSpPr>
      <mc:AlternateContent xmlns:mc="http://schemas.openxmlformats.org/markup-compatibility/2006">
        <mc:Choice xmlns:a14="http://schemas.microsoft.com/office/drawing/2010/main" Requires="a14">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8714509" y="2073563"/>
                <a:ext cx="1064492" cy="421409"/>
              </a:xfrm>
              <a:prstGeom prst="rect">
                <a:avLst/>
              </a:prstGeom>
              <a:noFill/>
              <a:ln w="9525">
                <a:miter lim="800000"/>
                <a:headEnd/>
                <a:tailEnd/>
              </a:ln>
            </xdr:spPr>
            <xdr:txBody>
              <a:bodyPr vertOverflow="clip" wrap="square" lIns="36576" tIns="32004" rIns="36576" bIns="32004" anchor="ctr" upright="1"/>
              <a:lstStyle/>
              <a:p>
                <a:pPr algn="ctr" rtl="0">
                  <a:defRPr sz="1000"/>
                </a:pPr>
                <a:r>
                  <a:rPr lang="en-PH" sz="1000" b="0" i="0" u="none" strike="noStrike" baseline="0">
                    <a:solidFill>
                      <a:srgbClr val="000000"/>
                    </a:solidFill>
                    <a:latin typeface="Arial"/>
                    <a:cs typeface="Arial"/>
                  </a:rPr>
                  <a:t>Clear Data</a:t>
                </a:r>
              </a:p>
            </xdr:txBody>
          </xdr:sp>
        </mc:Choice>
        <mc:Fallback/>
      </mc:AlternateContent>
      <xdr:pic macro="[0]!Reset_File">
        <xdr:nvPicPr>
          <xdr:cNvPr id="14" name="Graphic 13" descr="Eraser">
            <a:extLst>
              <a:ext uri="{FF2B5EF4-FFF2-40B4-BE49-F238E27FC236}">
                <a16:creationId xmlns:a16="http://schemas.microsoft.com/office/drawing/2014/main" id="{460C9A6F-C108-621C-0D33-0C7D06406F4A}"/>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8122227" y="1743363"/>
            <a:ext cx="914400" cy="914400"/>
          </a:xfrm>
          <a:prstGeom prst="rect">
            <a:avLst/>
          </a:prstGeom>
        </xdr:spPr>
      </xdr:pic>
    </xdr:grpSp>
    <xdr:clientData/>
  </xdr:twoCellAnchor>
  <xdr:twoCellAnchor>
    <xdr:from>
      <xdr:col>12</xdr:col>
      <xdr:colOff>369455</xdr:colOff>
      <xdr:row>14</xdr:row>
      <xdr:rowOff>121228</xdr:rowOff>
    </xdr:from>
    <xdr:to>
      <xdr:col>15</xdr:col>
      <xdr:colOff>161635</xdr:colOff>
      <xdr:row>20</xdr:row>
      <xdr:rowOff>54264</xdr:rowOff>
    </xdr:to>
    <xdr:grpSp>
      <xdr:nvGrpSpPr>
        <xdr:cNvPr id="17" name="Group 16">
          <a:extLst>
            <a:ext uri="{FF2B5EF4-FFF2-40B4-BE49-F238E27FC236}">
              <a16:creationId xmlns:a16="http://schemas.microsoft.com/office/drawing/2014/main" id="{E17D976C-CDF3-BB21-1295-E8A6EA24285E}"/>
            </a:ext>
          </a:extLst>
        </xdr:cNvPr>
        <xdr:cNvGrpSpPr/>
      </xdr:nvGrpSpPr>
      <xdr:grpSpPr>
        <a:xfrm>
          <a:off x="8099137" y="2568864"/>
          <a:ext cx="1697180" cy="914400"/>
          <a:chOff x="8099137" y="2568864"/>
          <a:chExt cx="1697180" cy="914400"/>
        </a:xfrm>
      </xdr:grpSpPr>
      <mc:AlternateContent xmlns:mc="http://schemas.openxmlformats.org/markup-compatibility/2006">
        <mc:Choice xmlns:a14="http://schemas.microsoft.com/office/drawing/2010/main" Requires="a14">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8719126" y="2919269"/>
                <a:ext cx="1077191" cy="426605"/>
              </a:xfrm>
              <a:prstGeom prst="rect">
                <a:avLst/>
              </a:prstGeom>
              <a:noFill/>
              <a:ln w="9525">
                <a:miter lim="800000"/>
                <a:headEnd/>
                <a:tailEnd/>
              </a:ln>
            </xdr:spPr>
            <xdr:txBody>
              <a:bodyPr vertOverflow="clip" wrap="square" lIns="36576" tIns="32004" rIns="36576" bIns="32004" anchor="ctr" upright="1"/>
              <a:lstStyle/>
              <a:p>
                <a:pPr algn="ctr" rtl="0">
                  <a:defRPr sz="1000"/>
                </a:pPr>
                <a:r>
                  <a:rPr lang="en-PH" sz="1000" b="0" i="0" u="none" strike="noStrike" baseline="0">
                    <a:solidFill>
                      <a:srgbClr val="000000"/>
                    </a:solidFill>
                    <a:latin typeface="Arial"/>
                    <a:cs typeface="Arial"/>
                  </a:rPr>
                  <a:t>Admin Task</a:t>
                </a:r>
              </a:p>
            </xdr:txBody>
          </xdr:sp>
        </mc:Choice>
        <mc:Fallback/>
      </mc:AlternateContent>
      <xdr:pic macro="[0]!Admin_Tasks">
        <xdr:nvPicPr>
          <xdr:cNvPr id="16" name="Graphic 15" descr="Lock">
            <a:extLst>
              <a:ext uri="{FF2B5EF4-FFF2-40B4-BE49-F238E27FC236}">
                <a16:creationId xmlns:a16="http://schemas.microsoft.com/office/drawing/2014/main" id="{F6ABE6EB-DFC3-CC7E-C81A-0138882D5F3F}"/>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8099137" y="2568864"/>
            <a:ext cx="914400" cy="914400"/>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24</xdr:col>
      <xdr:colOff>12699</xdr:colOff>
      <xdr:row>1</xdr:row>
      <xdr:rowOff>31750</xdr:rowOff>
    </xdr:from>
    <xdr:to>
      <xdr:col>26</xdr:col>
      <xdr:colOff>301625</xdr:colOff>
      <xdr:row>6</xdr:row>
      <xdr:rowOff>87313</xdr:rowOff>
    </xdr:to>
    <mc:AlternateContent xmlns:mc="http://schemas.openxmlformats.org/markup-compatibility/2006" xmlns:a14="http://schemas.microsoft.com/office/drawing/2010/main">
      <mc:Choice Requires="a14">
        <xdr:graphicFrame macro="">
          <xdr:nvGraphicFramePr>
            <xdr:cNvPr id="8" name="Company Name">
              <a:extLst>
                <a:ext uri="{FF2B5EF4-FFF2-40B4-BE49-F238E27FC236}">
                  <a16:creationId xmlns:a16="http://schemas.microsoft.com/office/drawing/2014/main" id="{00000000-0008-0000-0200-000008000000}"/>
                </a:ext>
              </a:extLst>
            </xdr:cNvPr>
            <xdr:cNvGraphicFramePr/>
          </xdr:nvGraphicFramePr>
          <xdr:xfrm>
            <a:off x="0" y="0"/>
            <a:ext cx="0" cy="0"/>
          </xdr:xfrm>
          <a:graphic>
            <a:graphicData uri="http://schemas.microsoft.com/office/drawing/2010/slicer">
              <sle:slicer xmlns:sle="http://schemas.microsoft.com/office/drawing/2010/slicer" name="Company Name"/>
            </a:graphicData>
          </a:graphic>
        </xdr:graphicFrame>
      </mc:Choice>
      <mc:Fallback xmlns="">
        <xdr:sp macro="" textlink="">
          <xdr:nvSpPr>
            <xdr:cNvPr id="0" name=""/>
            <xdr:cNvSpPr>
              <a:spLocks noTextEdit="1"/>
            </xdr:cNvSpPr>
          </xdr:nvSpPr>
          <xdr:spPr>
            <a:xfrm>
              <a:off x="23317199" y="333375"/>
              <a:ext cx="3082926" cy="849313"/>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190499</xdr:colOff>
      <xdr:row>12</xdr:row>
      <xdr:rowOff>1585</xdr:rowOff>
    </xdr:from>
    <xdr:to>
      <xdr:col>22</xdr:col>
      <xdr:colOff>23812</xdr:colOff>
      <xdr:row>23</xdr:row>
      <xdr:rowOff>119062</xdr:rowOff>
    </xdr:to>
    <xdr:graphicFrame macro="">
      <xdr:nvGraphicFramePr>
        <xdr:cNvPr id="5" name="Chart 4">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oneCellAnchor>
    <xdr:from>
      <xdr:col>1</xdr:col>
      <xdr:colOff>4762</xdr:colOff>
      <xdr:row>0</xdr:row>
      <xdr:rowOff>109538</xdr:rowOff>
    </xdr:from>
    <xdr:ext cx="1496179" cy="387286"/>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104775" y="109538"/>
          <a:ext cx="1496179"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2000" baseline="0">
              <a:solidFill>
                <a:schemeClr val="bg1">
                  <a:lumMod val="85000"/>
                </a:schemeClr>
              </a:solidFill>
            </a:rPr>
            <a:t>Instructions</a:t>
          </a:r>
          <a:endParaRPr lang="en-GB" sz="2000">
            <a:solidFill>
              <a:schemeClr val="bg1">
                <a:lumMod val="85000"/>
              </a:schemeClr>
            </a:solidFill>
          </a:endParaRPr>
        </a:p>
      </xdr:txBody>
    </xdr:sp>
    <xdr:clientData/>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by Joy Nardo" refreshedDate="45493.440374652775" createdVersion="8" refreshedVersion="8" minRefreshableVersion="3" recordCount="63" xr:uid="{5BE43711-29B6-4A0C-86DF-78439CEBED2A}">
  <cacheSource type="worksheet">
    <worksheetSource name="RegionalData"/>
  </cacheSource>
  <cacheFields count="14">
    <cacheField name="Company ID" numFmtId="0">
      <sharedItems/>
    </cacheField>
    <cacheField name="Sales Document" numFmtId="0">
      <sharedItems containsSemiMixedTypes="0" containsString="0" containsNumber="1" containsInteger="1" minValue="24030" maxValue="68116"/>
    </cacheField>
    <cacheField name="Document Date" numFmtId="14">
      <sharedItems containsSemiMixedTypes="0" containsNonDate="0" containsDate="1" containsString="0" minDate="2018-10-02T00:00:00" maxDate="2018-10-22T00:00:00"/>
    </cacheField>
    <cacheField name="Customer code" numFmtId="0">
      <sharedItems containsSemiMixedTypes="0" containsString="0" containsNumber="1" containsInteger="1" minValue="8010" maxValue="8020"/>
    </cacheField>
    <cacheField name="Article code" numFmtId="0">
      <sharedItems containsSemiMixedTypes="0" containsString="0" containsNumber="1" containsInteger="1" minValue="101" maxValue="118"/>
    </cacheField>
    <cacheField name="Reject" numFmtId="0">
      <sharedItems containsBlank="1" containsMixedTypes="1" containsNumber="1" containsInteger="1" minValue="1" maxValue="6"/>
    </cacheField>
    <cacheField name="Quantity" numFmtId="0">
      <sharedItems containsSemiMixedTypes="0" containsString="0" containsNumber="1" containsInteger="1" minValue="10" maxValue="200"/>
    </cacheField>
    <cacheField name="Sales Local Currency" numFmtId="0">
      <sharedItems containsSemiMixedTypes="0" containsString="0" containsNumber="1" containsInteger="1" minValue="100" maxValue="2500"/>
    </cacheField>
    <cacheField name="Company Name" numFmtId="0">
      <sharedItems count="4">
        <s v="Meta Creations"/>
        <s v="Urban Right"/>
        <s v="Bere Kleid" u="1"/>
        <s v="Lucas Basics" u="1"/>
      </sharedItems>
    </cacheField>
    <cacheField name="Customer Name" numFmtId="0">
      <sharedItems count="6">
        <s v="Erma"/>
        <s v="Dellicia"/>
        <s v="Aida GmbH" u="1"/>
        <s v="Werner Strauss" u="1"/>
        <s v="Edson" u="1"/>
        <s v="Liebher" u="1"/>
      </sharedItems>
    </cacheField>
    <cacheField name="Article Decription" numFmtId="0">
      <sharedItems count="19">
        <s v="Men type T simple white"/>
        <s v="Men type T simple black"/>
        <s v="Men basics"/>
        <s v="Laptop bag black"/>
        <s v="Men dress shirt black"/>
        <s v="Men dress shirt grey"/>
        <s v="Men shorts grey"/>
        <s v="Men shorts black"/>
        <s v="Unisex tank top white"/>
        <s v="Women type T simple white"/>
        <s v="Women type T simple black"/>
        <s v="Women crop top black"/>
        <s v="Women basics"/>
        <s v="Women evening dress Cocktail red" u="1"/>
        <s v="Smartphone case diamond" u="1"/>
        <s v="Women evening dress long black" u="1"/>
        <s v="Smartphone case simple" u="1"/>
        <s v="Laptop bag red" u="1"/>
        <s v="Unisex tank top black" u="1"/>
      </sharedItems>
    </cacheField>
    <cacheField name="Currency" numFmtId="0">
      <sharedItems/>
    </cacheField>
    <cacheField name="Sales US Dollar" numFmtId="0">
      <sharedItems containsSemiMixedTypes="0" containsString="0" containsNumber="1" containsInteger="1" minValue="100" maxValue="2500"/>
    </cacheField>
    <cacheField name="Reject %" numFmtId="0" formula="Reject/Quantity" databaseField="0"/>
  </cacheFields>
  <extLst>
    <ext xmlns:x14="http://schemas.microsoft.com/office/spreadsheetml/2009/9/main" uri="{725AE2AE-9491-48be-B2B4-4EB974FC3084}">
      <x14:pivotCacheDefinition pivotCacheId="20446379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3">
  <r>
    <s v="1020US"/>
    <n v="24030"/>
    <d v="2018-10-02T00:00:00"/>
    <n v="8020"/>
    <n v="101"/>
    <n v="1"/>
    <n v="130"/>
    <n v="1560"/>
    <x v="0"/>
    <x v="0"/>
    <x v="0"/>
    <s v="USD"/>
    <n v="1560"/>
  </r>
  <r>
    <s v="1020US"/>
    <n v="24030"/>
    <d v="2018-10-02T00:00:00"/>
    <n v="8020"/>
    <n v="102"/>
    <m/>
    <n v="30"/>
    <n v="360"/>
    <x v="0"/>
    <x v="0"/>
    <x v="1"/>
    <s v="USD"/>
    <n v="360"/>
  </r>
  <r>
    <s v="1020US"/>
    <n v="24030"/>
    <d v="2018-10-02T00:00:00"/>
    <n v="8020"/>
    <n v="106"/>
    <s v=""/>
    <n v="60"/>
    <n v="300"/>
    <x v="0"/>
    <x v="0"/>
    <x v="2"/>
    <s v="USD"/>
    <n v="300"/>
  </r>
  <r>
    <s v="1020US"/>
    <n v="24030"/>
    <d v="2018-10-02T00:00:00"/>
    <n v="8020"/>
    <n v="108"/>
    <m/>
    <n v="80"/>
    <n v="2240"/>
    <x v="0"/>
    <x v="0"/>
    <x v="3"/>
    <s v="USD"/>
    <n v="2240"/>
  </r>
  <r>
    <s v="1020US"/>
    <n v="24031"/>
    <d v="2018-10-08T00:00:00"/>
    <n v="8020"/>
    <n v="101"/>
    <s v=""/>
    <n v="100"/>
    <n v="1200"/>
    <x v="0"/>
    <x v="0"/>
    <x v="0"/>
    <s v="USD"/>
    <n v="1200"/>
  </r>
  <r>
    <s v="1020US"/>
    <n v="24031"/>
    <d v="2018-10-08T00:00:00"/>
    <n v="8020"/>
    <n v="108"/>
    <s v=""/>
    <n v="20"/>
    <n v="560"/>
    <x v="0"/>
    <x v="0"/>
    <x v="3"/>
    <s v="USD"/>
    <n v="560"/>
  </r>
  <r>
    <s v="1020US"/>
    <n v="24031"/>
    <d v="2018-10-08T00:00:00"/>
    <n v="8020"/>
    <n v="113"/>
    <s v=""/>
    <n v="100"/>
    <n v="2500"/>
    <x v="0"/>
    <x v="0"/>
    <x v="4"/>
    <s v="USD"/>
    <n v="2500"/>
  </r>
  <r>
    <s v="1020US"/>
    <n v="28112"/>
    <d v="2018-10-12T00:00:00"/>
    <n v="8020"/>
    <n v="114"/>
    <n v="1"/>
    <n v="50"/>
    <n v="1250"/>
    <x v="0"/>
    <x v="0"/>
    <x v="5"/>
    <s v="USD"/>
    <n v="1250"/>
  </r>
  <r>
    <s v="1020US"/>
    <n v="28112"/>
    <d v="2018-10-12T00:00:00"/>
    <n v="8020"/>
    <n v="101"/>
    <s v=""/>
    <n v="40"/>
    <n v="480"/>
    <x v="0"/>
    <x v="0"/>
    <x v="0"/>
    <s v="USD"/>
    <n v="480"/>
  </r>
  <r>
    <s v="1020US"/>
    <n v="28112"/>
    <d v="2018-10-12T00:00:00"/>
    <n v="8020"/>
    <n v="102"/>
    <m/>
    <n v="70"/>
    <n v="840"/>
    <x v="0"/>
    <x v="0"/>
    <x v="1"/>
    <s v="USD"/>
    <n v="840"/>
  </r>
  <r>
    <s v="1020US"/>
    <n v="28112"/>
    <d v="2018-10-12T00:00:00"/>
    <n v="8020"/>
    <n v="106"/>
    <m/>
    <n v="70"/>
    <n v="350"/>
    <x v="0"/>
    <x v="0"/>
    <x v="2"/>
    <s v="USD"/>
    <n v="350"/>
  </r>
  <r>
    <s v="1020US"/>
    <n v="28112"/>
    <d v="2018-10-12T00:00:00"/>
    <n v="8020"/>
    <n v="108"/>
    <m/>
    <n v="10"/>
    <n v="280"/>
    <x v="0"/>
    <x v="0"/>
    <x v="3"/>
    <s v="USD"/>
    <n v="280"/>
  </r>
  <r>
    <s v="1020US"/>
    <n v="28112"/>
    <d v="2018-10-12T00:00:00"/>
    <n v="8020"/>
    <n v="117"/>
    <m/>
    <n v="80"/>
    <n v="1440"/>
    <x v="0"/>
    <x v="0"/>
    <x v="6"/>
    <s v="USD"/>
    <n v="1440"/>
  </r>
  <r>
    <s v="1020US"/>
    <n v="28112"/>
    <d v="2018-10-12T00:00:00"/>
    <n v="8020"/>
    <n v="118"/>
    <m/>
    <n v="70"/>
    <n v="1260"/>
    <x v="0"/>
    <x v="0"/>
    <x v="7"/>
    <s v="USD"/>
    <n v="1260"/>
  </r>
  <r>
    <s v="1020US"/>
    <n v="25442"/>
    <d v="2018-10-16T00:00:00"/>
    <n v="8010"/>
    <n v="118"/>
    <m/>
    <n v="70"/>
    <n v="1260"/>
    <x v="0"/>
    <x v="1"/>
    <x v="7"/>
    <s v="USD"/>
    <n v="1260"/>
  </r>
  <r>
    <s v="1020US"/>
    <n v="25442"/>
    <d v="2018-10-16T00:00:00"/>
    <n v="8010"/>
    <n v="117"/>
    <n v="6"/>
    <n v="80"/>
    <n v="1440"/>
    <x v="0"/>
    <x v="1"/>
    <x v="6"/>
    <s v="USD"/>
    <n v="1440"/>
  </r>
  <r>
    <s v="1020US"/>
    <n v="25442"/>
    <d v="2018-10-16T00:00:00"/>
    <n v="8010"/>
    <n v="118"/>
    <m/>
    <n v="70"/>
    <n v="1260"/>
    <x v="0"/>
    <x v="1"/>
    <x v="7"/>
    <s v="USD"/>
    <n v="1260"/>
  </r>
  <r>
    <s v="1020US"/>
    <n v="25442"/>
    <d v="2018-10-16T00:00:00"/>
    <n v="8010"/>
    <n v="116"/>
    <n v="1"/>
    <n v="60"/>
    <n v="360"/>
    <x v="0"/>
    <x v="1"/>
    <x v="8"/>
    <s v="USD"/>
    <n v="360"/>
  </r>
  <r>
    <s v="1020US"/>
    <n v="25442"/>
    <d v="2018-10-16T00:00:00"/>
    <n v="8010"/>
    <n v="106"/>
    <m/>
    <n v="20"/>
    <n v="100"/>
    <x v="0"/>
    <x v="1"/>
    <x v="2"/>
    <s v="USD"/>
    <n v="100"/>
  </r>
  <r>
    <s v="1020US"/>
    <n v="25442"/>
    <d v="2018-10-16T00:00:00"/>
    <n v="8010"/>
    <n v="101"/>
    <m/>
    <n v="40"/>
    <n v="480"/>
    <x v="0"/>
    <x v="1"/>
    <x v="0"/>
    <s v="USD"/>
    <n v="480"/>
  </r>
  <r>
    <s v="1020US"/>
    <n v="25442"/>
    <d v="2018-10-16T00:00:00"/>
    <n v="8010"/>
    <n v="102"/>
    <m/>
    <n v="10"/>
    <n v="120"/>
    <x v="0"/>
    <x v="1"/>
    <x v="1"/>
    <s v="USD"/>
    <n v="120"/>
  </r>
  <r>
    <s v="1010US"/>
    <n v="66030"/>
    <d v="2018-10-04T00:00:00"/>
    <n v="8010"/>
    <n v="103"/>
    <s v=""/>
    <n v="120"/>
    <n v="1440"/>
    <x v="1"/>
    <x v="1"/>
    <x v="9"/>
    <s v="USD"/>
    <n v="1440"/>
  </r>
  <r>
    <s v="1010US"/>
    <n v="66030"/>
    <d v="2018-10-04T00:00:00"/>
    <n v="8010"/>
    <n v="104"/>
    <m/>
    <n v="150"/>
    <n v="1800"/>
    <x v="1"/>
    <x v="1"/>
    <x v="10"/>
    <s v="USD"/>
    <n v="1800"/>
  </r>
  <r>
    <s v="1010US"/>
    <n v="66032"/>
    <d v="2018-10-07T00:00:00"/>
    <n v="8010"/>
    <n v="103"/>
    <m/>
    <n v="170"/>
    <n v="2040"/>
    <x v="1"/>
    <x v="1"/>
    <x v="9"/>
    <s v="USD"/>
    <n v="2040"/>
  </r>
  <r>
    <s v="1010US"/>
    <n v="66032"/>
    <d v="2018-10-07T00:00:00"/>
    <n v="8010"/>
    <n v="104"/>
    <m/>
    <n v="140"/>
    <n v="1680"/>
    <x v="1"/>
    <x v="1"/>
    <x v="10"/>
    <s v="USD"/>
    <n v="1680"/>
  </r>
  <r>
    <s v="1010US"/>
    <n v="66031"/>
    <d v="2018-10-08T00:00:00"/>
    <n v="8020"/>
    <n v="103"/>
    <n v="1"/>
    <n v="140"/>
    <n v="1680"/>
    <x v="1"/>
    <x v="0"/>
    <x v="9"/>
    <s v="USD"/>
    <n v="1680"/>
  </r>
  <r>
    <s v="1010US"/>
    <n v="66031"/>
    <d v="2018-10-08T00:00:00"/>
    <n v="8020"/>
    <n v="104"/>
    <m/>
    <n v="150"/>
    <n v="1800"/>
    <x v="1"/>
    <x v="0"/>
    <x v="10"/>
    <s v="USD"/>
    <n v="1800"/>
  </r>
  <r>
    <s v="1010US"/>
    <n v="66031"/>
    <d v="2018-10-08T00:00:00"/>
    <n v="8020"/>
    <n v="105"/>
    <m/>
    <n v="100"/>
    <n v="1000"/>
    <x v="1"/>
    <x v="0"/>
    <x v="11"/>
    <s v="USD"/>
    <n v="1000"/>
  </r>
  <r>
    <s v="1010US"/>
    <n v="68112"/>
    <d v="2018-10-11T00:00:00"/>
    <n v="8010"/>
    <n v="104"/>
    <n v="4"/>
    <n v="180"/>
    <n v="2160"/>
    <x v="1"/>
    <x v="1"/>
    <x v="10"/>
    <s v="USD"/>
    <n v="2160"/>
  </r>
  <r>
    <s v="1010US"/>
    <n v="68112"/>
    <d v="2018-10-11T00:00:00"/>
    <n v="8010"/>
    <n v="105"/>
    <m/>
    <n v="120"/>
    <n v="1200"/>
    <x v="1"/>
    <x v="1"/>
    <x v="11"/>
    <s v="USD"/>
    <n v="1200"/>
  </r>
  <r>
    <s v="1010US"/>
    <n v="68116"/>
    <d v="2018-10-11T00:00:00"/>
    <n v="8020"/>
    <n v="104"/>
    <m/>
    <n v="150"/>
    <n v="1800"/>
    <x v="1"/>
    <x v="0"/>
    <x v="10"/>
    <s v="USD"/>
    <n v="1800"/>
  </r>
  <r>
    <s v="1010US"/>
    <n v="68116"/>
    <d v="2018-10-11T00:00:00"/>
    <n v="8020"/>
    <n v="105"/>
    <m/>
    <n v="190"/>
    <n v="1900"/>
    <x v="1"/>
    <x v="0"/>
    <x v="11"/>
    <s v="USD"/>
    <n v="1900"/>
  </r>
  <r>
    <s v="1010US"/>
    <n v="68116"/>
    <d v="2018-10-11T00:00:00"/>
    <n v="8020"/>
    <n v="107"/>
    <n v="2"/>
    <n v="160"/>
    <n v="800"/>
    <x v="1"/>
    <x v="0"/>
    <x v="12"/>
    <s v="USD"/>
    <n v="800"/>
  </r>
  <r>
    <s v="1010US"/>
    <n v="68116"/>
    <d v="2018-10-11T00:00:00"/>
    <n v="8010"/>
    <n v="104"/>
    <m/>
    <n v="160"/>
    <n v="1920"/>
    <x v="1"/>
    <x v="1"/>
    <x v="10"/>
    <s v="USD"/>
    <n v="1920"/>
  </r>
  <r>
    <s v="1010US"/>
    <n v="68116"/>
    <d v="2018-10-11T00:00:00"/>
    <n v="8010"/>
    <n v="105"/>
    <m/>
    <n v="190"/>
    <n v="1900"/>
    <x v="1"/>
    <x v="1"/>
    <x v="11"/>
    <s v="USD"/>
    <n v="1900"/>
  </r>
  <r>
    <s v="1010US"/>
    <n v="65662"/>
    <d v="2018-10-15T00:00:00"/>
    <n v="8020"/>
    <n v="103"/>
    <m/>
    <n v="120"/>
    <n v="1440"/>
    <x v="1"/>
    <x v="0"/>
    <x v="9"/>
    <s v="USD"/>
    <n v="1440"/>
  </r>
  <r>
    <s v="1010US"/>
    <n v="65662"/>
    <d v="2018-10-15T00:00:00"/>
    <n v="8020"/>
    <n v="104"/>
    <m/>
    <n v="110"/>
    <n v="1320"/>
    <x v="1"/>
    <x v="0"/>
    <x v="10"/>
    <s v="USD"/>
    <n v="1320"/>
  </r>
  <r>
    <s v="1010US"/>
    <n v="65666"/>
    <d v="2018-10-15T00:00:00"/>
    <n v="8010"/>
    <n v="103"/>
    <m/>
    <n v="120"/>
    <n v="1440"/>
    <x v="1"/>
    <x v="1"/>
    <x v="9"/>
    <s v="USD"/>
    <n v="1440"/>
  </r>
  <r>
    <s v="1010US"/>
    <n v="65666"/>
    <d v="2018-10-15T00:00:00"/>
    <n v="8010"/>
    <n v="104"/>
    <m/>
    <n v="140"/>
    <n v="1680"/>
    <x v="1"/>
    <x v="1"/>
    <x v="10"/>
    <s v="USD"/>
    <n v="1680"/>
  </r>
  <r>
    <s v="1010US"/>
    <n v="65666"/>
    <d v="2018-10-15T00:00:00"/>
    <n v="8010"/>
    <n v="105"/>
    <m/>
    <n v="160"/>
    <n v="1600"/>
    <x v="1"/>
    <x v="1"/>
    <x v="11"/>
    <s v="USD"/>
    <n v="1600"/>
  </r>
  <r>
    <s v="1010US"/>
    <n v="65666"/>
    <d v="2018-10-15T00:00:00"/>
    <n v="8020"/>
    <n v="107"/>
    <m/>
    <n v="120"/>
    <n v="600"/>
    <x v="1"/>
    <x v="0"/>
    <x v="12"/>
    <s v="USD"/>
    <n v="600"/>
  </r>
  <r>
    <s v="1010US"/>
    <n v="65666"/>
    <d v="2018-10-15T00:00:00"/>
    <n v="8020"/>
    <n v="103"/>
    <m/>
    <n v="200"/>
    <n v="2400"/>
    <x v="1"/>
    <x v="0"/>
    <x v="9"/>
    <s v="USD"/>
    <n v="2400"/>
  </r>
  <r>
    <s v="1010US"/>
    <n v="66015"/>
    <d v="2018-10-10T00:00:00"/>
    <n v="8010"/>
    <n v="103"/>
    <m/>
    <n v="140"/>
    <n v="1680"/>
    <x v="1"/>
    <x v="1"/>
    <x v="9"/>
    <s v="USD"/>
    <n v="1680"/>
  </r>
  <r>
    <s v="1010US"/>
    <n v="66015"/>
    <d v="2018-10-10T00:00:00"/>
    <n v="8010"/>
    <n v="104"/>
    <m/>
    <n v="140"/>
    <n v="1680"/>
    <x v="1"/>
    <x v="1"/>
    <x v="10"/>
    <s v="USD"/>
    <n v="1680"/>
  </r>
  <r>
    <s v="1010US"/>
    <n v="66017"/>
    <d v="2018-10-13T00:00:00"/>
    <n v="8010"/>
    <n v="103"/>
    <m/>
    <n v="140"/>
    <n v="1680"/>
    <x v="1"/>
    <x v="1"/>
    <x v="9"/>
    <s v="USD"/>
    <n v="1680"/>
  </r>
  <r>
    <s v="1010US"/>
    <n v="66017"/>
    <d v="2018-10-13T00:00:00"/>
    <n v="8010"/>
    <n v="104"/>
    <m/>
    <n v="140"/>
    <n v="1680"/>
    <x v="1"/>
    <x v="1"/>
    <x v="10"/>
    <s v="USD"/>
    <n v="1680"/>
  </r>
  <r>
    <s v="1010US"/>
    <n v="66016"/>
    <d v="2018-10-14T00:00:00"/>
    <n v="8020"/>
    <n v="103"/>
    <m/>
    <n v="120"/>
    <n v="1440"/>
    <x v="1"/>
    <x v="0"/>
    <x v="9"/>
    <s v="USD"/>
    <n v="1440"/>
  </r>
  <r>
    <s v="1010US"/>
    <n v="66016"/>
    <d v="2018-10-14T00:00:00"/>
    <n v="8020"/>
    <n v="104"/>
    <m/>
    <n v="130"/>
    <n v="1560"/>
    <x v="1"/>
    <x v="0"/>
    <x v="10"/>
    <s v="USD"/>
    <n v="1560"/>
  </r>
  <r>
    <s v="1010US"/>
    <n v="66016"/>
    <d v="2018-10-14T00:00:00"/>
    <n v="8020"/>
    <n v="105"/>
    <m/>
    <n v="120"/>
    <n v="1200"/>
    <x v="1"/>
    <x v="0"/>
    <x v="11"/>
    <s v="USD"/>
    <n v="1200"/>
  </r>
  <r>
    <s v="1010US"/>
    <n v="68097"/>
    <d v="2018-10-17T00:00:00"/>
    <n v="8010"/>
    <n v="104"/>
    <m/>
    <n v="140"/>
    <n v="1680"/>
    <x v="1"/>
    <x v="1"/>
    <x v="10"/>
    <s v="USD"/>
    <n v="1680"/>
  </r>
  <r>
    <s v="1010US"/>
    <n v="68097"/>
    <d v="2018-10-17T00:00:00"/>
    <n v="8010"/>
    <n v="105"/>
    <m/>
    <n v="130"/>
    <n v="1300"/>
    <x v="1"/>
    <x v="1"/>
    <x v="11"/>
    <s v="USD"/>
    <n v="1300"/>
  </r>
  <r>
    <s v="1010US"/>
    <n v="68099"/>
    <d v="2018-10-17T00:00:00"/>
    <n v="8020"/>
    <n v="104"/>
    <m/>
    <n v="120"/>
    <n v="1440"/>
    <x v="1"/>
    <x v="0"/>
    <x v="10"/>
    <s v="USD"/>
    <n v="1440"/>
  </r>
  <r>
    <s v="1010US"/>
    <n v="68099"/>
    <d v="2018-10-17T00:00:00"/>
    <n v="8020"/>
    <n v="105"/>
    <n v="2"/>
    <n v="140"/>
    <n v="1400"/>
    <x v="1"/>
    <x v="0"/>
    <x v="11"/>
    <s v="USD"/>
    <n v="1400"/>
  </r>
  <r>
    <s v="1010US"/>
    <n v="68099"/>
    <d v="2018-10-17T00:00:00"/>
    <n v="8020"/>
    <n v="107"/>
    <m/>
    <n v="170"/>
    <n v="850"/>
    <x v="1"/>
    <x v="0"/>
    <x v="12"/>
    <s v="USD"/>
    <n v="850"/>
  </r>
  <r>
    <s v="1010US"/>
    <n v="68101"/>
    <d v="2018-10-17T00:00:00"/>
    <n v="8010"/>
    <n v="104"/>
    <m/>
    <n v="190"/>
    <n v="2280"/>
    <x v="1"/>
    <x v="1"/>
    <x v="10"/>
    <s v="USD"/>
    <n v="2280"/>
  </r>
  <r>
    <s v="1010US"/>
    <n v="68101"/>
    <d v="2018-10-17T00:00:00"/>
    <n v="8010"/>
    <n v="105"/>
    <m/>
    <n v="140"/>
    <n v="1400"/>
    <x v="1"/>
    <x v="1"/>
    <x v="11"/>
    <s v="USD"/>
    <n v="1400"/>
  </r>
  <r>
    <s v="1010US"/>
    <n v="65627"/>
    <d v="2018-10-21T00:00:00"/>
    <n v="8020"/>
    <n v="103"/>
    <m/>
    <n v="140"/>
    <n v="1680"/>
    <x v="1"/>
    <x v="0"/>
    <x v="9"/>
    <s v="USD"/>
    <n v="1680"/>
  </r>
  <r>
    <s v="1010US"/>
    <n v="65627"/>
    <d v="2018-10-21T00:00:00"/>
    <n v="8020"/>
    <n v="104"/>
    <n v="3"/>
    <n v="160"/>
    <n v="1920"/>
    <x v="1"/>
    <x v="0"/>
    <x v="10"/>
    <s v="USD"/>
    <n v="1920"/>
  </r>
  <r>
    <s v="1010US"/>
    <n v="65629"/>
    <d v="2018-10-21T00:00:00"/>
    <n v="8010"/>
    <n v="103"/>
    <m/>
    <n v="190"/>
    <n v="2280"/>
    <x v="1"/>
    <x v="1"/>
    <x v="9"/>
    <s v="USD"/>
    <n v="2280"/>
  </r>
  <r>
    <s v="1010US"/>
    <n v="65629"/>
    <d v="2018-10-21T00:00:00"/>
    <n v="8010"/>
    <n v="104"/>
    <m/>
    <n v="130"/>
    <n v="1560"/>
    <x v="1"/>
    <x v="1"/>
    <x v="10"/>
    <s v="USD"/>
    <n v="1560"/>
  </r>
  <r>
    <s v="1010US"/>
    <n v="65629"/>
    <d v="2018-10-21T00:00:00"/>
    <n v="8010"/>
    <n v="105"/>
    <m/>
    <n v="140"/>
    <n v="1400"/>
    <x v="1"/>
    <x v="1"/>
    <x v="11"/>
    <s v="USD"/>
    <n v="1400"/>
  </r>
  <r>
    <s v="1010US"/>
    <n v="65631"/>
    <d v="2018-10-21T00:00:00"/>
    <n v="8020"/>
    <n v="107"/>
    <m/>
    <n v="190"/>
    <n v="950"/>
    <x v="1"/>
    <x v="0"/>
    <x v="12"/>
    <s v="USD"/>
    <n v="950"/>
  </r>
  <r>
    <s v="1010US"/>
    <n v="65631"/>
    <d v="2018-10-21T00:00:00"/>
    <n v="8020"/>
    <n v="103"/>
    <m/>
    <n v="120"/>
    <n v="1440"/>
    <x v="1"/>
    <x v="0"/>
    <x v="9"/>
    <s v="USD"/>
    <n v="144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F06FCED-14D4-4DBA-95CF-AF5E7041D3A3}" name="PTManager" cacheId="35" applyNumberFormats="0" applyBorderFormats="0" applyFontFormats="0" applyPatternFormats="0" applyAlignmentFormats="0" applyWidthHeightFormats="1" dataCaption="Values" grandTotalCaption="Total" updatedVersion="8" minRefreshableVersion="3" showDrill="0" itemPrintTitles="1" createdVersion="6" indent="0" outline="1" outlineData="1" multipleFieldFilters="0">
  <location ref="AJ4:AL43" firstHeaderRow="0" firstDataRow="1" firstDataCol="1"/>
  <pivotFields count="14">
    <pivotField showAll="0"/>
    <pivotField subtotalTop="0" showAll="0"/>
    <pivotField numFmtId="14" subtotalTop="0" showAll="0"/>
    <pivotField subtotalTop="0" showAll="0"/>
    <pivotField subtotalTop="0" showAll="0"/>
    <pivotField subtotalTop="0" showAll="0"/>
    <pivotField dataField="1" subtotalTop="0" showAll="0"/>
    <pivotField subtotalTop="0" showAll="0"/>
    <pivotField axis="axisRow" subtotalTop="0" showAll="0">
      <items count="5">
        <item m="1" x="2"/>
        <item m="1" x="3"/>
        <item x="0"/>
        <item x="1"/>
        <item t="default"/>
      </items>
    </pivotField>
    <pivotField axis="axisRow" subtotalTop="0" showAll="0">
      <items count="7">
        <item m="1" x="2"/>
        <item m="1" x="3"/>
        <item m="1" x="4"/>
        <item m="1" x="5"/>
        <item x="0"/>
        <item x="1"/>
        <item t="default"/>
      </items>
    </pivotField>
    <pivotField axis="axisRow" showAll="0">
      <items count="20">
        <item m="1" x="14"/>
        <item x="12"/>
        <item x="11"/>
        <item m="1" x="13"/>
        <item x="10"/>
        <item m="1" x="15"/>
        <item x="8"/>
        <item m="1" x="16"/>
        <item m="1" x="17"/>
        <item x="9"/>
        <item m="1" x="18"/>
        <item x="3"/>
        <item x="0"/>
        <item x="1"/>
        <item x="2"/>
        <item x="4"/>
        <item x="5"/>
        <item x="6"/>
        <item x="7"/>
        <item t="default"/>
      </items>
    </pivotField>
    <pivotField subtotalTop="0" showAll="0"/>
    <pivotField dataField="1" numFmtId="2" subtotalTop="0" showAll="0"/>
    <pivotField dragToRow="0" dragToCol="0" dragToPage="0" showAll="0" defaultSubtotal="0"/>
  </pivotFields>
  <rowFields count="3">
    <field x="8"/>
    <field x="10"/>
    <field x="9"/>
  </rowFields>
  <rowItems count="39">
    <i>
      <x v="2"/>
    </i>
    <i r="1">
      <x v="6"/>
    </i>
    <i r="2">
      <x v="5"/>
    </i>
    <i r="1">
      <x v="11"/>
    </i>
    <i r="2">
      <x v="4"/>
    </i>
    <i r="1">
      <x v="12"/>
    </i>
    <i r="2">
      <x v="4"/>
    </i>
    <i r="2">
      <x v="5"/>
    </i>
    <i r="1">
      <x v="13"/>
    </i>
    <i r="2">
      <x v="4"/>
    </i>
    <i r="2">
      <x v="5"/>
    </i>
    <i r="1">
      <x v="14"/>
    </i>
    <i r="2">
      <x v="4"/>
    </i>
    <i r="2">
      <x v="5"/>
    </i>
    <i r="1">
      <x v="15"/>
    </i>
    <i r="2">
      <x v="4"/>
    </i>
    <i r="1">
      <x v="16"/>
    </i>
    <i r="2">
      <x v="4"/>
    </i>
    <i r="1">
      <x v="17"/>
    </i>
    <i r="2">
      <x v="4"/>
    </i>
    <i r="2">
      <x v="5"/>
    </i>
    <i r="1">
      <x v="18"/>
    </i>
    <i r="2">
      <x v="4"/>
    </i>
    <i r="2">
      <x v="5"/>
    </i>
    <i t="default">
      <x v="2"/>
    </i>
    <i>
      <x v="3"/>
    </i>
    <i r="1">
      <x v="1"/>
    </i>
    <i r="2">
      <x v="4"/>
    </i>
    <i r="1">
      <x v="2"/>
    </i>
    <i r="2">
      <x v="4"/>
    </i>
    <i r="2">
      <x v="5"/>
    </i>
    <i r="1">
      <x v="4"/>
    </i>
    <i r="2">
      <x v="4"/>
    </i>
    <i r="2">
      <x v="5"/>
    </i>
    <i r="1">
      <x v="9"/>
    </i>
    <i r="2">
      <x v="4"/>
    </i>
    <i r="2">
      <x v="5"/>
    </i>
    <i t="default">
      <x v="3"/>
    </i>
    <i t="grand">
      <x/>
    </i>
  </rowItems>
  <colFields count="1">
    <field x="-2"/>
  </colFields>
  <colItems count="2">
    <i>
      <x/>
    </i>
    <i i="1">
      <x v="1"/>
    </i>
  </colItems>
  <dataFields count="2">
    <dataField name="Sales in US Dollar" fld="12" baseField="0" baseItem="0" numFmtId="3"/>
    <dataField name=" Quantity" fld="6" baseField="8" baseItem="1" numFmtId="3"/>
  </dataFields>
  <formats count="3">
    <format dxfId="11">
      <pivotArea dataOnly="0" labelOnly="1" outline="0" fieldPosition="0">
        <references count="1">
          <reference field="4294967294" count="1">
            <x v="0"/>
          </reference>
        </references>
      </pivotArea>
    </format>
    <format dxfId="10">
      <pivotArea dataOnly="0" labelOnly="1" outline="0" fieldPosition="0">
        <references count="1">
          <reference field="4294967294" count="1">
            <x v="1"/>
          </reference>
        </references>
      </pivotArea>
    </format>
    <format dxfId="9">
      <pivotArea dataOnly="0" labelOnly="1" outline="0" fieldPosition="0">
        <references count="1">
          <reference field="4294967294" count="1">
            <x v="1"/>
          </reference>
        </references>
      </pivotArea>
    </format>
  </formats>
  <pivotTableStyleInfo name="MyPivotStyle"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1166D6A-8178-4725-8226-37D5822532BA}" name="PTReject" cacheId="35" applyNumberFormats="0" applyBorderFormats="0" applyFontFormats="0" applyPatternFormats="0" applyAlignmentFormats="0" applyWidthHeightFormats="1" dataCaption="Values" grandTotalCaption="Total" updatedVersion="8" minRefreshableVersion="3" itemPrintTitles="1" createdVersion="6" indent="0" compact="0" compactData="0" multipleFieldFilters="0">
  <location ref="AC4:AE18" firstHeaderRow="0" firstDataRow="1" firstDataCol="1"/>
  <pivotFields count="14">
    <pivotField compact="0" outline="0" showAll="0"/>
    <pivotField compact="0" outline="0" subtotalTop="0" showAll="0"/>
    <pivotField compact="0" numFmtId="14" outline="0" subtotalTop="0" showAll="0"/>
    <pivotField compact="0" outline="0" subtotalTop="0" showAll="0"/>
    <pivotField compact="0" outline="0" subtotalTop="0" showAll="0"/>
    <pivotField dataField="1" compact="0" outline="0" subtotalTop="0" showAll="0"/>
    <pivotField compact="0" outline="0" subtotalTop="0" showAll="0"/>
    <pivotField compact="0" outline="0" subtotalTop="0" showAll="0"/>
    <pivotField compact="0" outline="0" subtotalTop="0" showAll="0">
      <items count="5">
        <item m="1" x="2"/>
        <item m="1" x="3"/>
        <item x="0"/>
        <item x="1"/>
        <item t="default"/>
      </items>
    </pivotField>
    <pivotField compact="0" outline="0" subtotalTop="0" showAll="0"/>
    <pivotField axis="axisRow" compact="0" outline="0" showAll="0">
      <items count="20">
        <item x="3"/>
        <item m="1" x="17"/>
        <item x="2"/>
        <item x="4"/>
        <item x="5"/>
        <item x="7"/>
        <item x="6"/>
        <item x="1"/>
        <item x="0"/>
        <item m="1" x="14"/>
        <item m="1" x="16"/>
        <item m="1" x="18"/>
        <item x="8"/>
        <item x="12"/>
        <item x="11"/>
        <item m="1" x="13"/>
        <item m="1" x="15"/>
        <item x="10"/>
        <item x="9"/>
        <item t="default"/>
      </items>
    </pivotField>
    <pivotField compact="0" outline="0" subtotalTop="0" showAll="0"/>
    <pivotField compact="0" numFmtId="2" outline="0" subtotalTop="0" showAll="0"/>
    <pivotField dataField="1" compact="0" outline="0" dragToRow="0" dragToCol="0" dragToPage="0" showAll="0" defaultSubtotal="0"/>
  </pivotFields>
  <rowFields count="1">
    <field x="10"/>
  </rowFields>
  <rowItems count="14">
    <i>
      <x/>
    </i>
    <i>
      <x v="2"/>
    </i>
    <i>
      <x v="3"/>
    </i>
    <i>
      <x v="4"/>
    </i>
    <i>
      <x v="5"/>
    </i>
    <i>
      <x v="6"/>
    </i>
    <i>
      <x v="7"/>
    </i>
    <i>
      <x v="8"/>
    </i>
    <i>
      <x v="12"/>
    </i>
    <i>
      <x v="13"/>
    </i>
    <i>
      <x v="14"/>
    </i>
    <i>
      <x v="17"/>
    </i>
    <i>
      <x v="18"/>
    </i>
    <i t="grand">
      <x/>
    </i>
  </rowItems>
  <colFields count="1">
    <field x="-2"/>
  </colFields>
  <colItems count="2">
    <i>
      <x/>
    </i>
    <i i="1">
      <x v="1"/>
    </i>
  </colItems>
  <dataFields count="2">
    <dataField name="Reject " fld="5" baseField="10" baseItem="0"/>
    <dataField name="Reject % " fld="13" baseField="0" baseItem="0" numFmtId="165"/>
  </dataFields>
  <formats count="5">
    <format dxfId="16">
      <pivotArea dataOnly="0" labelOnly="1" outline="0" fieldPosition="0">
        <references count="1">
          <reference field="4294967294" count="1">
            <x v="0"/>
          </reference>
        </references>
      </pivotArea>
    </format>
    <format dxfId="15">
      <pivotArea outline="0" fieldPosition="0">
        <references count="1">
          <reference field="4294967294" count="1">
            <x v="1"/>
          </reference>
        </references>
      </pivotArea>
    </format>
    <format dxfId="14">
      <pivotArea outline="0" fieldPosition="0">
        <references count="1">
          <reference field="4294967294" count="1">
            <x v="1"/>
          </reference>
        </references>
      </pivotArea>
    </format>
    <format dxfId="13">
      <pivotArea dataOnly="0" labelOnly="1" outline="0" fieldPosition="0">
        <references count="1">
          <reference field="4294967294" count="2">
            <x v="0"/>
            <x v="1"/>
          </reference>
        </references>
      </pivotArea>
    </format>
    <format dxfId="12">
      <pivotArea dataOnly="0" labelOnly="1" outline="0" fieldPosition="0">
        <references count="1">
          <reference field="4294967294" count="2">
            <x v="0"/>
            <x v="1"/>
          </reference>
        </references>
      </pivotArea>
    </format>
  </formats>
  <pivotTableStyleInfo name="MyPivotStyle"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61495F5-DA88-4CCD-AEC5-A42F7687883F}" name="PTArticle" cacheId="35" applyNumberFormats="0" applyBorderFormats="0" applyFontFormats="0" applyPatternFormats="0" applyAlignmentFormats="0" applyWidthHeightFormats="1" dataCaption="Values" grandTotalCaption="Total" updatedVersion="8" minRefreshableVersion="3" itemPrintTitles="1" createdVersion="6" indent="0" compact="0" compactData="0" multipleFieldFilters="0">
  <location ref="Y8:AA22" firstHeaderRow="0" firstDataRow="1" firstDataCol="1"/>
  <pivotFields count="14">
    <pivotField compact="0" outline="0" showAll="0"/>
    <pivotField compact="0" outline="0" subtotalTop="0" showAll="0"/>
    <pivotField compact="0" numFmtId="14" outline="0" subtotalTop="0" showAll="0"/>
    <pivotField compact="0" outline="0" subtotalTop="0" showAll="0"/>
    <pivotField compact="0" outline="0" subtotalTop="0" showAll="0"/>
    <pivotField compact="0" outline="0" subtotalTop="0" showAll="0"/>
    <pivotField dataField="1" compact="0" outline="0" subtotalTop="0" showAll="0"/>
    <pivotField compact="0" outline="0" subtotalTop="0" showAll="0"/>
    <pivotField compact="0" outline="0" subtotalTop="0" showAll="0">
      <items count="5">
        <item m="1" x="2"/>
        <item m="1" x="3"/>
        <item x="0"/>
        <item x="1"/>
        <item t="default"/>
      </items>
    </pivotField>
    <pivotField compact="0" outline="0" subtotalTop="0" showAll="0"/>
    <pivotField name="Article " axis="axisRow" compact="0" outline="0" showAll="0">
      <items count="20">
        <item x="3"/>
        <item m="1" x="17"/>
        <item x="2"/>
        <item x="4"/>
        <item x="5"/>
        <item x="7"/>
        <item x="6"/>
        <item x="1"/>
        <item x="0"/>
        <item m="1" x="14"/>
        <item m="1" x="16"/>
        <item m="1" x="18"/>
        <item x="8"/>
        <item x="12"/>
        <item x="11"/>
        <item m="1" x="13"/>
        <item m="1" x="15"/>
        <item x="10"/>
        <item x="9"/>
        <item t="default"/>
      </items>
    </pivotField>
    <pivotField compact="0" outline="0" subtotalTop="0" showAll="0"/>
    <pivotField dataField="1" compact="0" numFmtId="2" outline="0" subtotalTop="0" showAll="0"/>
    <pivotField compact="0" outline="0" dragToRow="0" dragToCol="0" dragToPage="0" showAll="0" defaultSubtotal="0"/>
  </pivotFields>
  <rowFields count="1">
    <field x="10"/>
  </rowFields>
  <rowItems count="14">
    <i>
      <x/>
    </i>
    <i>
      <x v="2"/>
    </i>
    <i>
      <x v="3"/>
    </i>
    <i>
      <x v="4"/>
    </i>
    <i>
      <x v="5"/>
    </i>
    <i>
      <x v="6"/>
    </i>
    <i>
      <x v="7"/>
    </i>
    <i>
      <x v="8"/>
    </i>
    <i>
      <x v="12"/>
    </i>
    <i>
      <x v="13"/>
    </i>
    <i>
      <x v="14"/>
    </i>
    <i>
      <x v="17"/>
    </i>
    <i>
      <x v="18"/>
    </i>
    <i t="grand">
      <x/>
    </i>
  </rowItems>
  <colFields count="1">
    <field x="-2"/>
  </colFields>
  <colItems count="2">
    <i>
      <x/>
    </i>
    <i i="1">
      <x v="1"/>
    </i>
  </colItems>
  <dataFields count="2">
    <dataField name="$ Sales" fld="12" baseField="0" baseItem="0" numFmtId="3"/>
    <dataField name="Quantity " fld="6" baseField="10" baseItem="15" numFmtId="1"/>
  </dataFields>
  <formats count="7">
    <format dxfId="23">
      <pivotArea dataOnly="0" labelOnly="1" outline="0" axis="axisValues" fieldPosition="0"/>
    </format>
    <format dxfId="22">
      <pivotArea dataOnly="0" labelOnly="1" outline="0" axis="axisValues" fieldPosition="0"/>
    </format>
    <format dxfId="21">
      <pivotArea outline="0" fieldPosition="0">
        <references count="1">
          <reference field="4294967294" count="1">
            <x v="0"/>
          </reference>
        </references>
      </pivotArea>
    </format>
    <format dxfId="20">
      <pivotArea outline="0" fieldPosition="0">
        <references count="1">
          <reference field="4294967294" count="1">
            <x v="0"/>
          </reference>
        </references>
      </pivotArea>
    </format>
    <format dxfId="19">
      <pivotArea outline="0" fieldPosition="0">
        <references count="1">
          <reference field="4294967294" count="1">
            <x v="1"/>
          </reference>
        </references>
      </pivotArea>
    </format>
    <format dxfId="18">
      <pivotArea dataOnly="0" labelOnly="1" outline="0" fieldPosition="0">
        <references count="1">
          <reference field="4294967294" count="1">
            <x v="0"/>
          </reference>
        </references>
      </pivotArea>
    </format>
    <format dxfId="17">
      <pivotArea dataOnly="0" labelOnly="1" outline="0" fieldPosition="0">
        <references count="1">
          <reference field="4294967294" count="1">
            <x v="1"/>
          </reference>
        </references>
      </pivotArea>
    </format>
  </formats>
  <pivotTableStyleInfo name="MyPivotStyle"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00FBBE3-FB6D-45BC-BB30-B15D404E933D}" name="PTRegion" cacheId="35" applyNumberFormats="0" applyBorderFormats="0" applyFontFormats="0" applyPatternFormats="0" applyAlignmentFormats="0" applyWidthHeightFormats="1" dataCaption="Values" grandTotalCaption="Total" updatedVersion="8" minRefreshableVersion="3" itemPrintTitles="1" createdVersion="6" indent="0" compact="0" compactData="0" multipleFieldFilters="0" chartFormat="4">
  <location ref="T4:V7" firstHeaderRow="0" firstDataRow="1" firstDataCol="1"/>
  <pivotFields count="14">
    <pivotField compact="0" outline="0" showAll="0"/>
    <pivotField compact="0" outline="0" subtotalTop="0" showAll="0"/>
    <pivotField compact="0" numFmtId="14"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name="Customer" axis="axisRow" compact="0" outline="0" showAll="0">
      <items count="7">
        <item m="1" x="2"/>
        <item m="1" x="3"/>
        <item m="1" x="4"/>
        <item m="1" x="5"/>
        <item x="0"/>
        <item x="1"/>
        <item t="default"/>
      </items>
    </pivotField>
    <pivotField compact="0" outline="0" showAll="0"/>
    <pivotField compact="0" outline="0" subtotalTop="0" showAll="0"/>
    <pivotField dataField="1" compact="0" numFmtId="2" outline="0" subtotalTop="0" showAll="0"/>
    <pivotField compact="0" outline="0" dragToRow="0" dragToCol="0" dragToPage="0" showAll="0" defaultSubtotal="0"/>
  </pivotFields>
  <rowFields count="1">
    <field x="9"/>
  </rowFields>
  <rowItems count="3">
    <i>
      <x v="4"/>
    </i>
    <i>
      <x v="5"/>
    </i>
    <i t="grand">
      <x/>
    </i>
  </rowItems>
  <colFields count="1">
    <field x="-2"/>
  </colFields>
  <colItems count="2">
    <i>
      <x/>
    </i>
    <i i="1">
      <x v="1"/>
    </i>
  </colItems>
  <dataFields count="2">
    <dataField name="$ Sales" fld="12" baseField="0" baseItem="0" numFmtId="164"/>
    <dataField name=" " fld="12" showDataAs="percentOfTotal" baseField="0" baseItem="0" numFmtId="9"/>
  </dataFields>
  <formats count="5">
    <format dxfId="28">
      <pivotArea dataOnly="0" labelOnly="1" outline="0" axis="axisValues" fieldPosition="0"/>
    </format>
    <format dxfId="27">
      <pivotArea dataOnly="0" labelOnly="1" outline="0" axis="axisValues" fieldPosition="0"/>
    </format>
    <format dxfId="26">
      <pivotArea outline="0" fieldPosition="0">
        <references count="1">
          <reference field="4294967294" count="1">
            <x v="1"/>
          </reference>
        </references>
      </pivotArea>
    </format>
    <format dxfId="25">
      <pivotArea outline="0" fieldPosition="0">
        <references count="1">
          <reference field="4294967294" count="1">
            <x v="1"/>
          </reference>
        </references>
      </pivotArea>
    </format>
    <format dxfId="24">
      <pivotArea dataOnly="0" labelOnly="1" outline="0" fieldPosition="0">
        <references count="1">
          <reference field="4294967294" count="1">
            <x v="0"/>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1" format="4" series="1">
      <pivotArea type="data" outline="0" fieldPosition="0">
        <references count="1">
          <reference field="4294967294" count="1" selected="0">
            <x v="0"/>
          </reference>
        </references>
      </pivotArea>
    </chartFormat>
    <chartFormat chart="1" format="5" series="1">
      <pivotArea type="data" outline="0" fieldPosition="0">
        <references count="1">
          <reference field="4294967294" count="1" selected="0">
            <x v="1"/>
          </reference>
        </references>
      </pivotArea>
    </chartFormat>
  </chartFormats>
  <pivotTableStyleInfo name="MyPivotStyle"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any_Name" xr10:uid="{FC6BF619-0B61-431A-89BE-50216E0B0902}" sourceName="Company Name">
  <pivotTables>
    <pivotTable tabId="7" name="PTArticle"/>
    <pivotTable tabId="7" name="PTReject"/>
  </pivotTables>
  <data>
    <tabular pivotCacheId="204463795">
      <items count="4">
        <i x="0" s="1"/>
        <i x="1" s="1"/>
        <i x="2" s="1" nd="1"/>
        <i x="3"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mpany Name" xr10:uid="{A4212650-FF60-4808-B538-BB0B9BBA5763}" cache="Slicer_Company_Name" caption="Company Name" columnCount="2" showCaption="0" rowHeight="22013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C9E3353-271A-4C9D-AF33-A4D24F29F20A}" name="RegionalData" displayName="RegionalData" ref="A1:M64" totalsRowShown="0" headerRowDxfId="8">
  <autoFilter ref="A1:M64" xr:uid="{AC9E3353-271A-4C9D-AF33-A4D24F29F20A}"/>
  <tableColumns count="13">
    <tableColumn id="1" xr3:uid="{A6AB949E-8D69-430E-A95D-C90B4E6BCA9B}" name="Company ID"/>
    <tableColumn id="2" xr3:uid="{479F25B9-05B1-479A-8345-0C3FCC15FD6F}" name="Sales Document"/>
    <tableColumn id="3" xr3:uid="{FE167B44-59B0-4EC4-BFBA-34C29F401AC4}" name="Document Date" dataDxfId="7"/>
    <tableColumn id="4" xr3:uid="{128FDD12-9FBC-4D59-9D3C-59F1D40975AF}" name="Customer code"/>
    <tableColumn id="5" xr3:uid="{74716EBC-88AB-452D-B7B9-8CDB13132EA2}" name="Article code"/>
    <tableColumn id="6" xr3:uid="{21FA93D6-8AF0-49C1-BF75-A74D95B76BF1}" name="Reject"/>
    <tableColumn id="7" xr3:uid="{462CE9E0-38CB-4DFC-A228-2F44464DDF6C}" name="Quantity"/>
    <tableColumn id="8" xr3:uid="{4FFC5DC6-01F6-4FFE-8060-FEE2B9324E33}" name="Sales Local Currency"/>
    <tableColumn id="9" xr3:uid="{6C895C3D-6DF8-45CF-A64B-7F11420E585C}" name="Company Name" dataDxfId="6">
      <calculatedColumnFormula>VLOOKUP(RegionalData[[#This Row],[Company ID]],MCompany[],2,0)</calculatedColumnFormula>
    </tableColumn>
    <tableColumn id="13" xr3:uid="{01A26DA4-DBD5-4FA1-9371-058885CD4C2F}" name="Customer Name" dataDxfId="5">
      <calculatedColumnFormula>VLOOKUP(RegionalData[[#This Row],[Customer code]],MCustomer[],2,0)</calculatedColumnFormula>
    </tableColumn>
    <tableColumn id="10" xr3:uid="{AAFE5C0B-0A4E-4246-B59C-8938A3DEA6E6}" name="Article Decription" dataDxfId="4">
      <calculatedColumnFormula>VLOOKUP(RegionalData[[#This Row],[Article code]],MArticle[],2,0)</calculatedColumnFormula>
    </tableColumn>
    <tableColumn id="11" xr3:uid="{0B82C73B-EDFC-4A85-AF8F-6E1A414C6765}" name="Currency" dataDxfId="3">
      <calculatedColumnFormula>VLOOKUP(RegionalData[[#This Row],[Company ID]],MCompany[],3,0)</calculatedColumnFormula>
    </tableColumn>
    <tableColumn id="12" xr3:uid="{B8FD4905-77A6-42C9-A5B5-63AD27279783}" name="Sales US Dollar" dataDxfId="2">
      <calculatedColumnFormula>IF(RegionalData[[#This Row],[Currency]]="EUR",ROUND(VLOOKUP(MONTH(RegionalData[[#This Row],[Document Date]]),MExchange[],2,0)*RegionalData[[#This Row],[Sales Local Currency]],0),RegionalData[[#This Row],[Sales Local Currency]])</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MCompany" displayName="MCompany" ref="B8:E12" tableBorderDxfId="1">
  <autoFilter ref="B8:E12" xr:uid="{00000000-0009-0000-0100-000002000000}">
    <filterColumn colId="0" hiddenButton="1"/>
    <filterColumn colId="1" hiddenButton="1"/>
    <filterColumn colId="2" hiddenButton="1"/>
    <filterColumn colId="3" hiddenButton="1"/>
  </autoFilter>
  <tableColumns count="4">
    <tableColumn id="1" xr3:uid="{00000000-0010-0000-0000-000001000000}" name="Company code" totalsRowLabel="Total"/>
    <tableColumn id="2" xr3:uid="{00000000-0010-0000-0000-000002000000}" name="Company Name"/>
    <tableColumn id="3" xr3:uid="{00000000-0010-0000-0000-000003000000}" name="Currency" totalsRowFunction="count"/>
    <tableColumn id="4" xr3:uid="{00000000-0010-0000-0000-000004000000}" name="Region"/>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MCustomer" displayName="MCustomer" ref="B16:C22" totalsRowShown="0">
  <autoFilter ref="B16:C22" xr:uid="{00000000-0009-0000-0100-000003000000}">
    <filterColumn colId="0" hiddenButton="1"/>
    <filterColumn colId="1" hiddenButton="1"/>
  </autoFilter>
  <tableColumns count="2">
    <tableColumn id="1" xr3:uid="{00000000-0010-0000-0100-000001000000}" name="Customer code"/>
    <tableColumn id="2" xr3:uid="{00000000-0010-0000-0100-000002000000}" name="Customer Name"/>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MArticle" displayName="MArticle" ref="B26:C46" totalsRowShown="0">
  <autoFilter ref="B26:C46" xr:uid="{00000000-0009-0000-0100-000004000000}">
    <filterColumn colId="0" hiddenButton="1"/>
    <filterColumn colId="1" hiddenButton="1"/>
  </autoFilter>
  <tableColumns count="2">
    <tableColumn id="1" xr3:uid="{00000000-0010-0000-0200-000001000000}" name="Article code" dataDxfId="0"/>
    <tableColumn id="2" xr3:uid="{00000000-0010-0000-0200-000002000000}" name="Description"/>
  </tableColumns>
  <tableStyleInfo name="Table Style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MExchange" displayName="MExchange" ref="B52:C64" totalsRowShown="0">
  <autoFilter ref="B52:C64" xr:uid="{00000000-0009-0000-0100-000005000000}">
    <filterColumn colId="0" hiddenButton="1"/>
    <filterColumn colId="1" hiddenButton="1"/>
  </autoFilter>
  <tableColumns count="2">
    <tableColumn id="1" xr3:uid="{00000000-0010-0000-0300-000001000000}" name="Month"/>
    <tableColumn id="2" xr3:uid="{00000000-0010-0000-0300-000002000000}" name="EUR to $"/>
  </tableColumns>
  <tableStyleInfo name="Table Style 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10" Type="http://schemas.openxmlformats.org/officeDocument/2006/relationships/ctrlProp" Target="../ctrlProps/ctrlProp5.xml"/><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table" Target="../tables/table1.xml"/><Relationship Id="rId5" Type="http://schemas.openxmlformats.org/officeDocument/2006/relationships/drawing" Target="../drawings/drawing2.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Start"/>
  <dimension ref="A1:Q37"/>
  <sheetViews>
    <sheetView showGridLines="0" tabSelected="1" zoomScale="110" zoomScaleNormal="110" workbookViewId="0">
      <selection activeCell="J19" sqref="J19"/>
    </sheetView>
  </sheetViews>
  <sheetFormatPr defaultColWidth="0" defaultRowHeight="12.5" zeroHeight="1" x14ac:dyDescent="0.25"/>
  <cols>
    <col min="1" max="1" width="4" customWidth="1"/>
    <col min="2" max="2" width="9.08984375" customWidth="1"/>
    <col min="3" max="3" width="19.81640625" customWidth="1"/>
    <col min="4" max="4" width="9.08984375" customWidth="1"/>
    <col min="5" max="5" width="5.81640625" customWidth="1"/>
    <col min="6" max="6" width="9.08984375" customWidth="1"/>
    <col min="7" max="7" width="12.81640625" customWidth="1"/>
    <col min="8" max="8" width="4.6328125" customWidth="1"/>
    <col min="9" max="17" width="9.08984375" customWidth="1"/>
    <col min="18" max="16384" width="9.08984375" hidden="1"/>
  </cols>
  <sheetData>
    <row r="1" ht="28.9" customHeight="1" x14ac:dyDescent="0.25"/>
    <row r="2" ht="11.65" customHeight="1" x14ac:dyDescent="0.25"/>
    <row r="3" x14ac:dyDescent="0.25"/>
    <row r="4" x14ac:dyDescent="0.25"/>
    <row r="5" x14ac:dyDescent="0.25"/>
    <row r="6" x14ac:dyDescent="0.25"/>
    <row r="7" x14ac:dyDescent="0.25"/>
    <row r="8" x14ac:dyDescent="0.25"/>
    <row r="9" x14ac:dyDescent="0.25"/>
    <row r="10" x14ac:dyDescent="0.25"/>
    <row r="11" x14ac:dyDescent="0.25"/>
    <row r="12" x14ac:dyDescent="0.25"/>
    <row r="13" x14ac:dyDescent="0.25"/>
    <row r="14" x14ac:dyDescent="0.25"/>
    <row r="15" x14ac:dyDescent="0.25"/>
    <row r="16" x14ac:dyDescent="0.25"/>
    <row r="17" spans="2:2" x14ac:dyDescent="0.25"/>
    <row r="18" spans="2:2" x14ac:dyDescent="0.25"/>
    <row r="19" spans="2:2" ht="13.5" thickBot="1" x14ac:dyDescent="0.35">
      <c r="B19" s="41" t="s">
        <v>106</v>
      </c>
    </row>
    <row r="20" spans="2:2" x14ac:dyDescent="0.25">
      <c r="B20" t="s">
        <v>121</v>
      </c>
    </row>
    <row r="21" spans="2:2" x14ac:dyDescent="0.25">
      <c r="B21" t="s">
        <v>122</v>
      </c>
    </row>
    <row r="22" spans="2:2" x14ac:dyDescent="0.25"/>
    <row r="23" spans="2:2" x14ac:dyDescent="0.25"/>
    <row r="24" spans="2:2" x14ac:dyDescent="0.25"/>
    <row r="25" spans="2:2" x14ac:dyDescent="0.25"/>
    <row r="26" spans="2:2" x14ac:dyDescent="0.25"/>
    <row r="27" spans="2:2" x14ac:dyDescent="0.25"/>
    <row r="28" spans="2:2" x14ac:dyDescent="0.25"/>
    <row r="29" spans="2:2" x14ac:dyDescent="0.25"/>
    <row r="30" spans="2:2" x14ac:dyDescent="0.25"/>
    <row r="31" spans="2:2" x14ac:dyDescent="0.25"/>
    <row r="32" spans="2:2" x14ac:dyDescent="0.25"/>
    <row r="33" x14ac:dyDescent="0.25"/>
    <row r="34" x14ac:dyDescent="0.25"/>
    <row r="35" x14ac:dyDescent="0.25"/>
    <row r="36" x14ac:dyDescent="0.25"/>
    <row r="37" x14ac:dyDescent="0.25"/>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1027" r:id="rId4" name="AxRegion">
          <controlPr defaultSize="0" autoLine="0" autoPict="0" listFillRange="MRegion" r:id="rId5">
            <anchor moveWithCells="1">
              <from>
                <xdr:col>5</xdr:col>
                <xdr:colOff>190500</xdr:colOff>
                <xdr:row>14</xdr:row>
                <xdr:rowOff>127000</xdr:rowOff>
              </from>
              <to>
                <xdr:col>6</xdr:col>
                <xdr:colOff>641350</xdr:colOff>
                <xdr:row>16</xdr:row>
                <xdr:rowOff>31750</xdr:rowOff>
              </to>
            </anchor>
          </controlPr>
        </control>
      </mc:Choice>
      <mc:Fallback>
        <control shapeId="1027" r:id="rId4" name="AxRegion"/>
      </mc:Fallback>
    </mc:AlternateContent>
    <mc:AlternateContent xmlns:mc="http://schemas.openxmlformats.org/markup-compatibility/2006">
      <mc:Choice Requires="x14">
        <control shapeId="1026" r:id="rId6" name="Button 2">
          <controlPr defaultSize="0" autoFill="0" autoPict="0" macro="[0]!Import_Sales">
            <anchor moveWithCells="1" sizeWithCells="1">
              <from>
                <xdr:col>1</xdr:col>
                <xdr:colOff>527050</xdr:colOff>
                <xdr:row>11</xdr:row>
                <xdr:rowOff>120650</xdr:rowOff>
              </from>
              <to>
                <xdr:col>2</xdr:col>
                <xdr:colOff>946150</xdr:colOff>
                <xdr:row>14</xdr:row>
                <xdr:rowOff>12700</xdr:rowOff>
              </to>
            </anchor>
          </controlPr>
        </control>
      </mc:Choice>
    </mc:AlternateContent>
    <mc:AlternateContent xmlns:mc="http://schemas.openxmlformats.org/markup-compatibility/2006">
      <mc:Choice Requires="x14">
        <control shapeId="1029" r:id="rId7" name="Button 5">
          <controlPr defaultSize="0" autoFill="0" autoPict="0" macro="[0]!Create_Report">
            <anchor moveWithCells="1" sizeWithCells="1">
              <from>
                <xdr:col>5</xdr:col>
                <xdr:colOff>63500</xdr:colOff>
                <xdr:row>12</xdr:row>
                <xdr:rowOff>12700</xdr:rowOff>
              </from>
              <to>
                <xdr:col>6</xdr:col>
                <xdr:colOff>628650</xdr:colOff>
                <xdr:row>14</xdr:row>
                <xdr:rowOff>19050</xdr:rowOff>
              </to>
            </anchor>
          </controlPr>
        </control>
      </mc:Choice>
    </mc:AlternateContent>
    <mc:AlternateContent xmlns:mc="http://schemas.openxmlformats.org/markup-compatibility/2006">
      <mc:Choice Requires="x14">
        <control shapeId="1030" r:id="rId8" name="Button 6">
          <controlPr defaultSize="0" autoFill="0" autoPict="0" macro="[0]!Create_CSV">
            <anchor moveWithCells="1" sizeWithCells="1">
              <from>
                <xdr:col>9</xdr:col>
                <xdr:colOff>285750</xdr:colOff>
                <xdr:row>11</xdr:row>
                <xdr:rowOff>127000</xdr:rowOff>
              </from>
              <to>
                <xdr:col>11</xdr:col>
                <xdr:colOff>63500</xdr:colOff>
                <xdr:row>14</xdr:row>
                <xdr:rowOff>50800</xdr:rowOff>
              </to>
            </anchor>
          </controlPr>
        </control>
      </mc:Choice>
    </mc:AlternateContent>
    <mc:AlternateContent xmlns:mc="http://schemas.openxmlformats.org/markup-compatibility/2006">
      <mc:Choice Requires="x14">
        <control shapeId="1031" r:id="rId9" name="Button 7">
          <controlPr defaultSize="0" autoFill="0" autoPict="0" macro="[0]!Reset_File">
            <anchor moveWithCells="1" sizeWithCells="1">
              <from>
                <xdr:col>13</xdr:col>
                <xdr:colOff>349250</xdr:colOff>
                <xdr:row>11</xdr:row>
                <xdr:rowOff>107950</xdr:rowOff>
              </from>
              <to>
                <xdr:col>15</xdr:col>
                <xdr:colOff>146050</xdr:colOff>
                <xdr:row>14</xdr:row>
                <xdr:rowOff>44450</xdr:rowOff>
              </to>
            </anchor>
          </controlPr>
        </control>
      </mc:Choice>
    </mc:AlternateContent>
    <mc:AlternateContent xmlns:mc="http://schemas.openxmlformats.org/markup-compatibility/2006">
      <mc:Choice Requires="x14">
        <control shapeId="1032" r:id="rId10" name="Button 8">
          <controlPr defaultSize="0" autoFill="0" autoPict="0" macro="[0]!Admin.Admin_Tasks">
            <anchor moveWithCells="1" sizeWithCells="1">
              <from>
                <xdr:col>13</xdr:col>
                <xdr:colOff>355600</xdr:colOff>
                <xdr:row>16</xdr:row>
                <xdr:rowOff>146050</xdr:rowOff>
              </from>
              <to>
                <xdr:col>15</xdr:col>
                <xdr:colOff>158750</xdr:colOff>
                <xdr:row>19</xdr:row>
                <xdr:rowOff>76200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All"/>
  <dimension ref="A1:H141"/>
  <sheetViews>
    <sheetView workbookViewId="0">
      <selection activeCell="H100" sqref="H100:H141"/>
    </sheetView>
  </sheetViews>
  <sheetFormatPr defaultColWidth="9.08984375" defaultRowHeight="12.5" x14ac:dyDescent="0.25"/>
  <cols>
    <col min="1" max="1" width="13.6328125" style="7" customWidth="1"/>
    <col min="2" max="8" width="16" style="7" customWidth="1"/>
    <col min="9" max="16384" width="9.08984375" style="7"/>
  </cols>
  <sheetData>
    <row r="1" spans="1:8" ht="13" x14ac:dyDescent="0.25">
      <c r="A1" s="8" t="s">
        <v>39</v>
      </c>
      <c r="B1" s="8" t="s">
        <v>2</v>
      </c>
      <c r="C1" s="8" t="s">
        <v>40</v>
      </c>
      <c r="D1" s="8" t="s">
        <v>49</v>
      </c>
      <c r="E1" s="8" t="s">
        <v>52</v>
      </c>
      <c r="F1" s="8" t="s">
        <v>43</v>
      </c>
      <c r="G1" s="8" t="s">
        <v>41</v>
      </c>
      <c r="H1" s="8" t="s">
        <v>42</v>
      </c>
    </row>
    <row r="2" spans="1:8" x14ac:dyDescent="0.25">
      <c r="A2" s="7" t="s">
        <v>30</v>
      </c>
      <c r="B2">
        <v>84030</v>
      </c>
      <c r="C2" s="24">
        <v>43380</v>
      </c>
      <c r="D2">
        <v>8050</v>
      </c>
      <c r="E2">
        <v>120</v>
      </c>
      <c r="F2" t="s">
        <v>88</v>
      </c>
      <c r="G2">
        <v>120</v>
      </c>
      <c r="H2">
        <v>6960</v>
      </c>
    </row>
    <row r="3" spans="1:8" x14ac:dyDescent="0.25">
      <c r="A3" s="7" t="s">
        <v>30</v>
      </c>
      <c r="B3">
        <v>84030</v>
      </c>
      <c r="C3" s="24">
        <v>43380</v>
      </c>
      <c r="D3">
        <v>8050</v>
      </c>
      <c r="E3">
        <v>104</v>
      </c>
      <c r="F3">
        <v>1</v>
      </c>
      <c r="G3">
        <v>430</v>
      </c>
      <c r="H3">
        <v>5160</v>
      </c>
    </row>
    <row r="4" spans="1:8" x14ac:dyDescent="0.25">
      <c r="A4" s="7" t="s">
        <v>30</v>
      </c>
      <c r="B4">
        <v>84030</v>
      </c>
      <c r="C4" s="24">
        <v>43380</v>
      </c>
      <c r="D4">
        <v>8050</v>
      </c>
      <c r="E4">
        <v>105</v>
      </c>
      <c r="F4" t="s">
        <v>88</v>
      </c>
      <c r="G4">
        <v>120</v>
      </c>
      <c r="H4">
        <v>1200</v>
      </c>
    </row>
    <row r="5" spans="1:8" x14ac:dyDescent="0.25">
      <c r="A5" s="7" t="s">
        <v>30</v>
      </c>
      <c r="B5">
        <v>84030</v>
      </c>
      <c r="C5" s="24">
        <v>43380</v>
      </c>
      <c r="D5">
        <v>8050</v>
      </c>
      <c r="E5">
        <v>107</v>
      </c>
      <c r="F5">
        <v>1</v>
      </c>
      <c r="G5">
        <v>690</v>
      </c>
      <c r="H5">
        <v>3450</v>
      </c>
    </row>
    <row r="6" spans="1:8" x14ac:dyDescent="0.25">
      <c r="A6" s="7" t="s">
        <v>30</v>
      </c>
      <c r="B6">
        <v>84031</v>
      </c>
      <c r="C6" s="24">
        <v>43381</v>
      </c>
      <c r="D6">
        <v>8040</v>
      </c>
      <c r="E6">
        <v>104</v>
      </c>
      <c r="F6" t="s">
        <v>88</v>
      </c>
      <c r="G6">
        <v>870</v>
      </c>
      <c r="H6">
        <v>10440</v>
      </c>
    </row>
    <row r="7" spans="1:8" x14ac:dyDescent="0.25">
      <c r="A7" s="7" t="s">
        <v>30</v>
      </c>
      <c r="B7">
        <v>84031</v>
      </c>
      <c r="C7" s="24">
        <v>43381</v>
      </c>
      <c r="D7">
        <v>8040</v>
      </c>
      <c r="E7">
        <v>107</v>
      </c>
      <c r="F7" t="s">
        <v>88</v>
      </c>
      <c r="G7">
        <v>760</v>
      </c>
      <c r="H7">
        <v>3800</v>
      </c>
    </row>
    <row r="8" spans="1:8" x14ac:dyDescent="0.25">
      <c r="A8" s="7" t="s">
        <v>30</v>
      </c>
      <c r="B8">
        <v>84031</v>
      </c>
      <c r="C8" s="24">
        <v>43381</v>
      </c>
      <c r="D8">
        <v>8040</v>
      </c>
      <c r="E8">
        <v>110</v>
      </c>
      <c r="F8">
        <v>2</v>
      </c>
      <c r="G8">
        <v>500</v>
      </c>
      <c r="H8">
        <v>30000</v>
      </c>
    </row>
    <row r="9" spans="1:8" x14ac:dyDescent="0.25">
      <c r="A9" s="7" t="s">
        <v>30</v>
      </c>
      <c r="B9">
        <v>88112</v>
      </c>
      <c r="C9" s="24">
        <v>43384</v>
      </c>
      <c r="D9">
        <v>8040</v>
      </c>
      <c r="E9">
        <v>110</v>
      </c>
      <c r="F9"/>
      <c r="G9">
        <v>480</v>
      </c>
      <c r="H9">
        <v>28800</v>
      </c>
    </row>
    <row r="10" spans="1:8" x14ac:dyDescent="0.25">
      <c r="A10" s="7" t="s">
        <v>30</v>
      </c>
      <c r="B10">
        <v>88112</v>
      </c>
      <c r="C10" s="24">
        <v>43384</v>
      </c>
      <c r="D10">
        <v>8040</v>
      </c>
      <c r="E10">
        <v>119</v>
      </c>
      <c r="F10" t="s">
        <v>88</v>
      </c>
      <c r="G10">
        <v>630</v>
      </c>
      <c r="H10">
        <v>39060</v>
      </c>
    </row>
    <row r="11" spans="1:8" x14ac:dyDescent="0.25">
      <c r="A11" s="7" t="s">
        <v>30</v>
      </c>
      <c r="B11">
        <v>88112</v>
      </c>
      <c r="C11" s="24">
        <v>43384</v>
      </c>
      <c r="D11">
        <v>8040</v>
      </c>
      <c r="E11">
        <v>120</v>
      </c>
      <c r="F11"/>
      <c r="G11">
        <v>150</v>
      </c>
      <c r="H11">
        <v>8700</v>
      </c>
    </row>
    <row r="12" spans="1:8" x14ac:dyDescent="0.25">
      <c r="A12" s="7" t="s">
        <v>30</v>
      </c>
      <c r="B12">
        <v>88112</v>
      </c>
      <c r="C12" s="24">
        <v>43384</v>
      </c>
      <c r="D12">
        <v>8040</v>
      </c>
      <c r="E12">
        <v>116</v>
      </c>
      <c r="F12">
        <v>4</v>
      </c>
      <c r="G12">
        <v>760</v>
      </c>
      <c r="H12">
        <v>4560</v>
      </c>
    </row>
    <row r="13" spans="1:8" x14ac:dyDescent="0.25">
      <c r="A13" s="7" t="s">
        <v>30</v>
      </c>
      <c r="B13">
        <v>88112</v>
      </c>
      <c r="C13" s="24">
        <v>43384</v>
      </c>
      <c r="D13">
        <v>8040</v>
      </c>
      <c r="E13">
        <v>111</v>
      </c>
      <c r="F13"/>
      <c r="G13">
        <v>590</v>
      </c>
      <c r="H13">
        <v>11800</v>
      </c>
    </row>
    <row r="14" spans="1:8" x14ac:dyDescent="0.25">
      <c r="A14" s="7" t="s">
        <v>30</v>
      </c>
      <c r="B14">
        <v>88112</v>
      </c>
      <c r="C14" s="24">
        <v>43384</v>
      </c>
      <c r="D14">
        <v>8040</v>
      </c>
      <c r="E14">
        <v>110</v>
      </c>
      <c r="F14"/>
      <c r="G14">
        <v>530</v>
      </c>
      <c r="H14">
        <v>31800</v>
      </c>
    </row>
    <row r="15" spans="1:8" x14ac:dyDescent="0.25">
      <c r="A15" s="7" t="s">
        <v>30</v>
      </c>
      <c r="B15">
        <v>88112</v>
      </c>
      <c r="C15" s="24">
        <v>43384</v>
      </c>
      <c r="D15">
        <v>8040</v>
      </c>
      <c r="E15">
        <v>109</v>
      </c>
      <c r="F15"/>
      <c r="G15">
        <v>260</v>
      </c>
      <c r="H15">
        <v>7280</v>
      </c>
    </row>
    <row r="16" spans="1:8" x14ac:dyDescent="0.25">
      <c r="A16" s="7" t="s">
        <v>30</v>
      </c>
      <c r="B16">
        <v>85442</v>
      </c>
      <c r="C16" s="24">
        <v>43388</v>
      </c>
      <c r="D16">
        <v>8050</v>
      </c>
      <c r="E16">
        <v>107</v>
      </c>
      <c r="F16"/>
      <c r="G16">
        <v>270</v>
      </c>
      <c r="H16">
        <v>1350</v>
      </c>
    </row>
    <row r="17" spans="1:8" x14ac:dyDescent="0.25">
      <c r="A17" s="7" t="s">
        <v>30</v>
      </c>
      <c r="B17">
        <v>85442</v>
      </c>
      <c r="C17" s="24">
        <v>43388</v>
      </c>
      <c r="D17">
        <v>8050</v>
      </c>
      <c r="E17">
        <v>103</v>
      </c>
      <c r="F17"/>
      <c r="G17">
        <v>630</v>
      </c>
      <c r="H17">
        <v>7560</v>
      </c>
    </row>
    <row r="18" spans="1:8" x14ac:dyDescent="0.25">
      <c r="A18" s="7" t="s">
        <v>30</v>
      </c>
      <c r="B18">
        <v>85442</v>
      </c>
      <c r="C18" s="24">
        <v>43388</v>
      </c>
      <c r="D18">
        <v>8050</v>
      </c>
      <c r="E18">
        <v>104</v>
      </c>
      <c r="F18"/>
      <c r="G18">
        <v>440</v>
      </c>
      <c r="H18">
        <v>5280</v>
      </c>
    </row>
    <row r="19" spans="1:8" x14ac:dyDescent="0.25">
      <c r="A19" s="7" t="s">
        <v>30</v>
      </c>
      <c r="B19">
        <v>85442</v>
      </c>
      <c r="C19" s="24">
        <v>43388</v>
      </c>
      <c r="D19">
        <v>8050</v>
      </c>
      <c r="E19">
        <v>120</v>
      </c>
      <c r="F19"/>
      <c r="G19">
        <v>500</v>
      </c>
      <c r="H19">
        <v>29000</v>
      </c>
    </row>
    <row r="20" spans="1:8" x14ac:dyDescent="0.25">
      <c r="A20" s="7" t="s">
        <v>30</v>
      </c>
      <c r="B20">
        <v>85442</v>
      </c>
      <c r="C20" s="24">
        <v>43388</v>
      </c>
      <c r="D20">
        <v>8050</v>
      </c>
      <c r="E20">
        <v>119</v>
      </c>
      <c r="F20">
        <v>1</v>
      </c>
      <c r="G20">
        <v>360</v>
      </c>
      <c r="H20">
        <v>22320</v>
      </c>
    </row>
    <row r="21" spans="1:8" x14ac:dyDescent="0.25">
      <c r="A21" s="7" t="s">
        <v>30</v>
      </c>
      <c r="B21">
        <v>85442</v>
      </c>
      <c r="C21" s="24">
        <v>43388</v>
      </c>
      <c r="D21">
        <v>8050</v>
      </c>
      <c r="E21">
        <v>115</v>
      </c>
      <c r="F21"/>
      <c r="G21">
        <v>810</v>
      </c>
      <c r="H21">
        <v>4860</v>
      </c>
    </row>
    <row r="22" spans="1:8" x14ac:dyDescent="0.25">
      <c r="A22" s="7" t="s">
        <v>30</v>
      </c>
      <c r="B22">
        <v>85442</v>
      </c>
      <c r="C22" s="24">
        <v>43388</v>
      </c>
      <c r="D22">
        <v>8050</v>
      </c>
      <c r="E22">
        <v>108</v>
      </c>
      <c r="F22"/>
      <c r="G22">
        <v>800</v>
      </c>
      <c r="H22">
        <v>22400</v>
      </c>
    </row>
    <row r="23" spans="1:8" x14ac:dyDescent="0.25">
      <c r="A23" s="7" t="s">
        <v>30</v>
      </c>
      <c r="B23">
        <v>88588</v>
      </c>
      <c r="C23" s="24">
        <v>43388</v>
      </c>
      <c r="D23">
        <v>8040</v>
      </c>
      <c r="E23">
        <v>120</v>
      </c>
      <c r="F23"/>
      <c r="G23">
        <v>470</v>
      </c>
      <c r="H23">
        <v>27260</v>
      </c>
    </row>
    <row r="24" spans="1:8" x14ac:dyDescent="0.25">
      <c r="A24" s="7" t="s">
        <v>30</v>
      </c>
      <c r="B24">
        <v>88588</v>
      </c>
      <c r="C24" s="24">
        <v>43388</v>
      </c>
      <c r="D24">
        <v>8040</v>
      </c>
      <c r="E24">
        <v>119</v>
      </c>
      <c r="F24"/>
      <c r="G24">
        <v>860</v>
      </c>
      <c r="H24">
        <v>53320</v>
      </c>
    </row>
    <row r="25" spans="1:8" x14ac:dyDescent="0.25">
      <c r="A25" s="7" t="s">
        <v>30</v>
      </c>
      <c r="B25">
        <v>88588</v>
      </c>
      <c r="C25" s="24">
        <v>43388</v>
      </c>
      <c r="D25">
        <v>8040</v>
      </c>
      <c r="E25">
        <v>110</v>
      </c>
      <c r="F25"/>
      <c r="G25">
        <v>180</v>
      </c>
      <c r="H25">
        <v>10800</v>
      </c>
    </row>
    <row r="26" spans="1:8" x14ac:dyDescent="0.25">
      <c r="A26" s="7" t="s">
        <v>30</v>
      </c>
      <c r="B26">
        <v>88588</v>
      </c>
      <c r="C26" s="24">
        <v>43388</v>
      </c>
      <c r="D26">
        <v>8040</v>
      </c>
      <c r="E26">
        <v>111</v>
      </c>
      <c r="F26"/>
      <c r="G26">
        <v>750</v>
      </c>
      <c r="H26">
        <v>15000</v>
      </c>
    </row>
    <row r="27" spans="1:8" x14ac:dyDescent="0.25">
      <c r="A27" s="7" t="s">
        <v>30</v>
      </c>
      <c r="B27">
        <v>88588</v>
      </c>
      <c r="C27" s="24">
        <v>43388</v>
      </c>
      <c r="D27">
        <v>8040</v>
      </c>
      <c r="E27">
        <v>109</v>
      </c>
      <c r="F27"/>
      <c r="G27">
        <v>560</v>
      </c>
      <c r="H27">
        <v>15680</v>
      </c>
    </row>
    <row r="28" spans="1:8" x14ac:dyDescent="0.25">
      <c r="A28" s="7" t="s">
        <v>30</v>
      </c>
      <c r="B28">
        <v>88588</v>
      </c>
      <c r="C28" s="24">
        <v>43388</v>
      </c>
      <c r="D28">
        <v>8040</v>
      </c>
      <c r="E28">
        <v>105</v>
      </c>
      <c r="F28"/>
      <c r="G28">
        <v>130</v>
      </c>
      <c r="H28">
        <v>1300</v>
      </c>
    </row>
    <row r="29" spans="1:8" x14ac:dyDescent="0.25">
      <c r="A29" s="7" t="s">
        <v>30</v>
      </c>
      <c r="B29">
        <v>88588</v>
      </c>
      <c r="C29" s="24">
        <v>43388</v>
      </c>
      <c r="D29">
        <v>8040</v>
      </c>
      <c r="E29">
        <v>103</v>
      </c>
      <c r="F29"/>
      <c r="G29">
        <v>110</v>
      </c>
      <c r="H29">
        <v>1320</v>
      </c>
    </row>
    <row r="30" spans="1:8" x14ac:dyDescent="0.25">
      <c r="A30" s="7" t="s">
        <v>30</v>
      </c>
      <c r="B30">
        <v>88544</v>
      </c>
      <c r="C30" s="24">
        <v>43395</v>
      </c>
      <c r="D30">
        <v>8040</v>
      </c>
      <c r="E30">
        <v>107</v>
      </c>
      <c r="F30"/>
      <c r="G30">
        <v>770</v>
      </c>
      <c r="H30">
        <v>3850</v>
      </c>
    </row>
    <row r="31" spans="1:8" x14ac:dyDescent="0.25">
      <c r="A31" s="7" t="s">
        <v>30</v>
      </c>
      <c r="B31">
        <v>88544</v>
      </c>
      <c r="C31" s="24">
        <v>43395</v>
      </c>
      <c r="D31">
        <v>8040</v>
      </c>
      <c r="E31">
        <v>120</v>
      </c>
      <c r="F31"/>
      <c r="G31">
        <v>300</v>
      </c>
      <c r="H31">
        <v>17400</v>
      </c>
    </row>
    <row r="32" spans="1:8" x14ac:dyDescent="0.25">
      <c r="A32" s="7" t="s">
        <v>30</v>
      </c>
      <c r="B32">
        <v>88666</v>
      </c>
      <c r="C32" s="24">
        <v>43399</v>
      </c>
      <c r="D32">
        <v>8030</v>
      </c>
      <c r="E32">
        <v>119</v>
      </c>
      <c r="F32"/>
      <c r="G32">
        <v>330</v>
      </c>
      <c r="H32">
        <v>20460</v>
      </c>
    </row>
    <row r="33" spans="1:8" x14ac:dyDescent="0.25">
      <c r="A33" s="7" t="s">
        <v>30</v>
      </c>
      <c r="B33">
        <v>88666</v>
      </c>
      <c r="C33" s="24">
        <v>43399</v>
      </c>
      <c r="D33">
        <v>8030</v>
      </c>
      <c r="E33">
        <v>107</v>
      </c>
      <c r="F33"/>
      <c r="G33">
        <v>460</v>
      </c>
      <c r="H33">
        <v>2300</v>
      </c>
    </row>
    <row r="34" spans="1:8" x14ac:dyDescent="0.25">
      <c r="A34" s="7" t="s">
        <v>30</v>
      </c>
      <c r="B34">
        <v>88666</v>
      </c>
      <c r="C34" s="24">
        <v>43399</v>
      </c>
      <c r="D34">
        <v>8030</v>
      </c>
      <c r="E34">
        <v>105</v>
      </c>
      <c r="F34">
        <v>1</v>
      </c>
      <c r="G34">
        <v>470</v>
      </c>
      <c r="H34">
        <v>4700</v>
      </c>
    </row>
    <row r="35" spans="1:8" x14ac:dyDescent="0.25">
      <c r="A35" s="7" t="s">
        <v>30</v>
      </c>
      <c r="B35">
        <v>88666</v>
      </c>
      <c r="C35" s="24">
        <v>43399</v>
      </c>
      <c r="D35">
        <v>8030</v>
      </c>
      <c r="E35">
        <v>115</v>
      </c>
      <c r="F35"/>
      <c r="G35">
        <v>390</v>
      </c>
      <c r="H35">
        <v>2340</v>
      </c>
    </row>
    <row r="36" spans="1:8" x14ac:dyDescent="0.25">
      <c r="A36" s="7" t="s">
        <v>30</v>
      </c>
      <c r="B36">
        <v>88666</v>
      </c>
      <c r="C36" s="24">
        <v>43399</v>
      </c>
      <c r="D36">
        <v>8030</v>
      </c>
      <c r="E36">
        <v>116</v>
      </c>
      <c r="F36"/>
      <c r="G36">
        <v>260</v>
      </c>
      <c r="H36">
        <v>1560</v>
      </c>
    </row>
    <row r="37" spans="1:8" x14ac:dyDescent="0.25">
      <c r="A37" s="7" t="s">
        <v>31</v>
      </c>
      <c r="B37">
        <v>44030</v>
      </c>
      <c r="C37" s="24">
        <v>43377</v>
      </c>
      <c r="D37">
        <v>8060</v>
      </c>
      <c r="E37">
        <v>108</v>
      </c>
      <c r="F37" t="s">
        <v>88</v>
      </c>
      <c r="G37">
        <v>60</v>
      </c>
      <c r="H37">
        <v>1680</v>
      </c>
    </row>
    <row r="38" spans="1:8" x14ac:dyDescent="0.25">
      <c r="A38" s="7" t="s">
        <v>31</v>
      </c>
      <c r="B38">
        <v>44030</v>
      </c>
      <c r="C38" s="24">
        <v>43377</v>
      </c>
      <c r="D38">
        <v>8060</v>
      </c>
      <c r="E38">
        <v>109</v>
      </c>
      <c r="F38">
        <v>1</v>
      </c>
      <c r="G38">
        <v>60</v>
      </c>
      <c r="H38">
        <v>1680</v>
      </c>
    </row>
    <row r="39" spans="1:8" x14ac:dyDescent="0.25">
      <c r="A39" s="7" t="s">
        <v>31</v>
      </c>
      <c r="B39">
        <v>44032</v>
      </c>
      <c r="C39" s="24">
        <v>43380</v>
      </c>
      <c r="D39">
        <v>8060</v>
      </c>
      <c r="E39">
        <v>108</v>
      </c>
      <c r="F39" t="s">
        <v>88</v>
      </c>
      <c r="G39">
        <v>60</v>
      </c>
      <c r="H39">
        <v>1680</v>
      </c>
    </row>
    <row r="40" spans="1:8" x14ac:dyDescent="0.25">
      <c r="A40" s="7" t="s">
        <v>31</v>
      </c>
      <c r="B40">
        <v>44032</v>
      </c>
      <c r="C40" s="24">
        <v>43380</v>
      </c>
      <c r="D40">
        <v>8060</v>
      </c>
      <c r="E40">
        <v>109</v>
      </c>
      <c r="F40"/>
      <c r="G40">
        <v>70</v>
      </c>
      <c r="H40">
        <v>1960</v>
      </c>
    </row>
    <row r="41" spans="1:8" x14ac:dyDescent="0.25">
      <c r="A41" s="7" t="s">
        <v>31</v>
      </c>
      <c r="B41">
        <v>44031</v>
      </c>
      <c r="C41" s="24">
        <v>43381</v>
      </c>
      <c r="D41">
        <v>8050</v>
      </c>
      <c r="E41">
        <v>108</v>
      </c>
      <c r="F41" t="s">
        <v>88</v>
      </c>
      <c r="G41">
        <v>60</v>
      </c>
      <c r="H41">
        <v>1680</v>
      </c>
    </row>
    <row r="42" spans="1:8" x14ac:dyDescent="0.25">
      <c r="A42" s="7" t="s">
        <v>31</v>
      </c>
      <c r="B42">
        <v>44031</v>
      </c>
      <c r="C42" s="24">
        <v>43381</v>
      </c>
      <c r="D42">
        <v>8050</v>
      </c>
      <c r="E42">
        <v>109</v>
      </c>
      <c r="F42" t="s">
        <v>88</v>
      </c>
      <c r="G42">
        <v>50</v>
      </c>
      <c r="H42">
        <v>1400</v>
      </c>
    </row>
    <row r="43" spans="1:8" x14ac:dyDescent="0.25">
      <c r="A43" s="7" t="s">
        <v>31</v>
      </c>
      <c r="B43">
        <v>44031</v>
      </c>
      <c r="C43" s="24">
        <v>43381</v>
      </c>
      <c r="D43">
        <v>8050</v>
      </c>
      <c r="E43">
        <v>110</v>
      </c>
      <c r="F43" t="s">
        <v>88</v>
      </c>
      <c r="G43">
        <v>60</v>
      </c>
      <c r="H43">
        <v>3600</v>
      </c>
    </row>
    <row r="44" spans="1:8" x14ac:dyDescent="0.25">
      <c r="A44" s="7" t="s">
        <v>31</v>
      </c>
      <c r="B44">
        <v>48112</v>
      </c>
      <c r="C44" s="24">
        <v>43384</v>
      </c>
      <c r="D44">
        <v>8060</v>
      </c>
      <c r="E44">
        <v>109</v>
      </c>
      <c r="F44"/>
      <c r="G44">
        <v>60</v>
      </c>
      <c r="H44">
        <v>1680</v>
      </c>
    </row>
    <row r="45" spans="1:8" x14ac:dyDescent="0.25">
      <c r="A45" s="7" t="s">
        <v>31</v>
      </c>
      <c r="B45">
        <v>48112</v>
      </c>
      <c r="C45" s="24">
        <v>43384</v>
      </c>
      <c r="D45">
        <v>8060</v>
      </c>
      <c r="E45">
        <v>110</v>
      </c>
      <c r="F45" t="s">
        <v>88</v>
      </c>
      <c r="G45">
        <v>50</v>
      </c>
      <c r="H45">
        <v>3000</v>
      </c>
    </row>
    <row r="46" spans="1:8" x14ac:dyDescent="0.25">
      <c r="A46" s="7" t="s">
        <v>31</v>
      </c>
      <c r="B46">
        <v>48114</v>
      </c>
      <c r="C46" s="24">
        <v>43384</v>
      </c>
      <c r="D46">
        <v>8050</v>
      </c>
      <c r="E46">
        <v>109</v>
      </c>
      <c r="F46"/>
      <c r="G46">
        <v>60</v>
      </c>
      <c r="H46">
        <v>1680</v>
      </c>
    </row>
    <row r="47" spans="1:8" x14ac:dyDescent="0.25">
      <c r="A47" s="7" t="s">
        <v>31</v>
      </c>
      <c r="B47">
        <v>48114</v>
      </c>
      <c r="C47" s="24">
        <v>43384</v>
      </c>
      <c r="D47">
        <v>8050</v>
      </c>
      <c r="E47">
        <v>110</v>
      </c>
      <c r="F47"/>
      <c r="G47">
        <v>60</v>
      </c>
      <c r="H47">
        <v>3600</v>
      </c>
    </row>
    <row r="48" spans="1:8" x14ac:dyDescent="0.25">
      <c r="A48" s="7" t="s">
        <v>31</v>
      </c>
      <c r="B48">
        <v>48114</v>
      </c>
      <c r="C48" s="24">
        <v>43384</v>
      </c>
      <c r="D48">
        <v>8050</v>
      </c>
      <c r="E48">
        <v>111</v>
      </c>
      <c r="F48"/>
      <c r="G48">
        <v>80</v>
      </c>
      <c r="H48">
        <v>1600</v>
      </c>
    </row>
    <row r="49" spans="1:8" x14ac:dyDescent="0.25">
      <c r="A49" s="7" t="s">
        <v>31</v>
      </c>
      <c r="B49">
        <v>48116</v>
      </c>
      <c r="C49" s="24">
        <v>43384</v>
      </c>
      <c r="D49">
        <v>8060</v>
      </c>
      <c r="E49">
        <v>109</v>
      </c>
      <c r="F49"/>
      <c r="G49">
        <v>60</v>
      </c>
      <c r="H49">
        <v>1680</v>
      </c>
    </row>
    <row r="50" spans="1:8" x14ac:dyDescent="0.25">
      <c r="A50" s="7" t="s">
        <v>31</v>
      </c>
      <c r="B50">
        <v>48116</v>
      </c>
      <c r="C50" s="24">
        <v>43384</v>
      </c>
      <c r="D50">
        <v>8060</v>
      </c>
      <c r="E50">
        <v>110</v>
      </c>
      <c r="F50"/>
      <c r="G50">
        <v>60</v>
      </c>
      <c r="H50">
        <v>3600</v>
      </c>
    </row>
    <row r="51" spans="1:8" x14ac:dyDescent="0.25">
      <c r="A51" s="7" t="s">
        <v>31</v>
      </c>
      <c r="B51">
        <v>45442</v>
      </c>
      <c r="C51" s="24">
        <v>43388</v>
      </c>
      <c r="D51">
        <v>8050</v>
      </c>
      <c r="E51">
        <v>108</v>
      </c>
      <c r="F51"/>
      <c r="G51">
        <v>50</v>
      </c>
      <c r="H51">
        <v>1400</v>
      </c>
    </row>
    <row r="52" spans="1:8" x14ac:dyDescent="0.25">
      <c r="A52" s="7" t="s">
        <v>31</v>
      </c>
      <c r="B52">
        <v>45442</v>
      </c>
      <c r="C52" s="24">
        <v>43388</v>
      </c>
      <c r="D52">
        <v>8050</v>
      </c>
      <c r="E52">
        <v>109</v>
      </c>
      <c r="F52">
        <v>1</v>
      </c>
      <c r="G52">
        <v>60</v>
      </c>
      <c r="H52">
        <v>1680</v>
      </c>
    </row>
    <row r="53" spans="1:8" x14ac:dyDescent="0.25">
      <c r="A53" s="7" t="s">
        <v>31</v>
      </c>
      <c r="B53">
        <v>45444</v>
      </c>
      <c r="C53" s="24">
        <v>43388</v>
      </c>
      <c r="D53">
        <v>8060</v>
      </c>
      <c r="E53">
        <v>108</v>
      </c>
      <c r="F53"/>
      <c r="G53">
        <v>60</v>
      </c>
      <c r="H53">
        <v>1680</v>
      </c>
    </row>
    <row r="54" spans="1:8" x14ac:dyDescent="0.25">
      <c r="A54" s="7" t="s">
        <v>31</v>
      </c>
      <c r="B54">
        <v>45444</v>
      </c>
      <c r="C54" s="24">
        <v>43388</v>
      </c>
      <c r="D54">
        <v>8060</v>
      </c>
      <c r="E54">
        <v>109</v>
      </c>
      <c r="F54"/>
      <c r="G54">
        <v>70</v>
      </c>
      <c r="H54">
        <v>1960</v>
      </c>
    </row>
    <row r="55" spans="1:8" x14ac:dyDescent="0.25">
      <c r="A55" s="7" t="s">
        <v>31</v>
      </c>
      <c r="B55">
        <v>45444</v>
      </c>
      <c r="C55" s="24">
        <v>43388</v>
      </c>
      <c r="D55">
        <v>8060</v>
      </c>
      <c r="E55">
        <v>110</v>
      </c>
      <c r="F55"/>
      <c r="G55">
        <v>60</v>
      </c>
      <c r="H55">
        <v>3600</v>
      </c>
    </row>
    <row r="56" spans="1:8" x14ac:dyDescent="0.25">
      <c r="A56" s="7" t="s">
        <v>31</v>
      </c>
      <c r="B56">
        <v>45446</v>
      </c>
      <c r="C56" s="24">
        <v>43388</v>
      </c>
      <c r="D56">
        <v>8050</v>
      </c>
      <c r="E56">
        <v>111</v>
      </c>
      <c r="F56"/>
      <c r="G56">
        <v>80</v>
      </c>
      <c r="H56">
        <v>1600</v>
      </c>
    </row>
    <row r="57" spans="1:8" x14ac:dyDescent="0.25">
      <c r="A57" s="7" t="s">
        <v>31</v>
      </c>
      <c r="B57">
        <v>45446</v>
      </c>
      <c r="C57" s="24">
        <v>43388</v>
      </c>
      <c r="D57">
        <v>8050</v>
      </c>
      <c r="E57">
        <v>108</v>
      </c>
      <c r="F57"/>
      <c r="G57">
        <v>50</v>
      </c>
      <c r="H57">
        <v>1400</v>
      </c>
    </row>
    <row r="58" spans="1:8" x14ac:dyDescent="0.25">
      <c r="A58" s="7" t="s">
        <v>31</v>
      </c>
      <c r="B58">
        <v>44015</v>
      </c>
      <c r="C58" s="24">
        <v>43383</v>
      </c>
      <c r="D58">
        <v>8060</v>
      </c>
      <c r="E58">
        <v>108</v>
      </c>
      <c r="F58"/>
      <c r="G58">
        <v>60</v>
      </c>
      <c r="H58">
        <v>1680</v>
      </c>
    </row>
    <row r="59" spans="1:8" x14ac:dyDescent="0.25">
      <c r="A59" s="7" t="s">
        <v>31</v>
      </c>
      <c r="B59">
        <v>44015</v>
      </c>
      <c r="C59" s="24">
        <v>43383</v>
      </c>
      <c r="D59">
        <v>8060</v>
      </c>
      <c r="E59">
        <v>109</v>
      </c>
      <c r="F59"/>
      <c r="G59">
        <v>70</v>
      </c>
      <c r="H59">
        <v>1960</v>
      </c>
    </row>
    <row r="60" spans="1:8" x14ac:dyDescent="0.25">
      <c r="A60" s="7" t="s">
        <v>31</v>
      </c>
      <c r="B60">
        <v>44017</v>
      </c>
      <c r="C60" s="24">
        <v>43386</v>
      </c>
      <c r="D60">
        <v>8060</v>
      </c>
      <c r="E60">
        <v>108</v>
      </c>
      <c r="F60"/>
      <c r="G60">
        <v>70</v>
      </c>
      <c r="H60">
        <v>1960</v>
      </c>
    </row>
    <row r="61" spans="1:8" x14ac:dyDescent="0.25">
      <c r="A61" s="7" t="s">
        <v>31</v>
      </c>
      <c r="B61">
        <v>44017</v>
      </c>
      <c r="C61" s="24">
        <v>43386</v>
      </c>
      <c r="D61">
        <v>8060</v>
      </c>
      <c r="E61">
        <v>109</v>
      </c>
      <c r="F61"/>
      <c r="G61">
        <v>70</v>
      </c>
      <c r="H61">
        <v>1960</v>
      </c>
    </row>
    <row r="62" spans="1:8" x14ac:dyDescent="0.25">
      <c r="A62" s="7" t="s">
        <v>31</v>
      </c>
      <c r="B62">
        <v>44016</v>
      </c>
      <c r="C62" s="24">
        <v>43387</v>
      </c>
      <c r="D62">
        <v>8050</v>
      </c>
      <c r="E62">
        <v>108</v>
      </c>
      <c r="F62"/>
      <c r="G62">
        <v>70</v>
      </c>
      <c r="H62">
        <v>1960</v>
      </c>
    </row>
    <row r="63" spans="1:8" x14ac:dyDescent="0.25">
      <c r="A63" s="7" t="s">
        <v>31</v>
      </c>
      <c r="B63">
        <v>44016</v>
      </c>
      <c r="C63" s="24">
        <v>43387</v>
      </c>
      <c r="D63">
        <v>8050</v>
      </c>
      <c r="E63">
        <v>109</v>
      </c>
      <c r="F63">
        <v>1</v>
      </c>
      <c r="G63">
        <v>60</v>
      </c>
      <c r="H63">
        <v>1680</v>
      </c>
    </row>
    <row r="64" spans="1:8" x14ac:dyDescent="0.25">
      <c r="A64" s="7" t="s">
        <v>31</v>
      </c>
      <c r="B64">
        <v>44016</v>
      </c>
      <c r="C64" s="24">
        <v>43387</v>
      </c>
      <c r="D64">
        <v>8050</v>
      </c>
      <c r="E64">
        <v>110</v>
      </c>
      <c r="F64"/>
      <c r="G64">
        <v>50</v>
      </c>
      <c r="H64">
        <v>3000</v>
      </c>
    </row>
    <row r="65" spans="1:8" x14ac:dyDescent="0.25">
      <c r="A65" s="7" t="s">
        <v>31</v>
      </c>
      <c r="B65">
        <v>48097</v>
      </c>
      <c r="C65" s="24">
        <v>43390</v>
      </c>
      <c r="D65">
        <v>8060</v>
      </c>
      <c r="E65">
        <v>109</v>
      </c>
      <c r="F65"/>
      <c r="G65">
        <v>60</v>
      </c>
      <c r="H65">
        <v>1680</v>
      </c>
    </row>
    <row r="66" spans="1:8" x14ac:dyDescent="0.25">
      <c r="A66" s="7" t="s">
        <v>31</v>
      </c>
      <c r="B66">
        <v>48097</v>
      </c>
      <c r="C66" s="24">
        <v>43390</v>
      </c>
      <c r="D66">
        <v>8060</v>
      </c>
      <c r="E66">
        <v>110</v>
      </c>
      <c r="F66"/>
      <c r="G66">
        <v>70</v>
      </c>
      <c r="H66">
        <v>4200</v>
      </c>
    </row>
    <row r="67" spans="1:8" x14ac:dyDescent="0.25">
      <c r="A67" s="7" t="s">
        <v>31</v>
      </c>
      <c r="B67">
        <v>48099</v>
      </c>
      <c r="C67" s="24">
        <v>43390</v>
      </c>
      <c r="D67">
        <v>8050</v>
      </c>
      <c r="E67">
        <v>109</v>
      </c>
      <c r="F67">
        <v>1</v>
      </c>
      <c r="G67">
        <v>60</v>
      </c>
      <c r="H67">
        <v>1680</v>
      </c>
    </row>
    <row r="68" spans="1:8" x14ac:dyDescent="0.25">
      <c r="A68" s="7" t="s">
        <v>31</v>
      </c>
      <c r="B68">
        <v>48099</v>
      </c>
      <c r="C68" s="24">
        <v>43390</v>
      </c>
      <c r="D68">
        <v>8050</v>
      </c>
      <c r="E68">
        <v>110</v>
      </c>
      <c r="F68"/>
      <c r="G68">
        <v>60</v>
      </c>
      <c r="H68">
        <v>3600</v>
      </c>
    </row>
    <row r="69" spans="1:8" x14ac:dyDescent="0.25">
      <c r="A69" s="7" t="s">
        <v>31</v>
      </c>
      <c r="B69">
        <v>48099</v>
      </c>
      <c r="C69" s="24">
        <v>43390</v>
      </c>
      <c r="D69">
        <v>8050</v>
      </c>
      <c r="E69">
        <v>111</v>
      </c>
      <c r="F69"/>
      <c r="G69">
        <v>60</v>
      </c>
      <c r="H69">
        <v>1200</v>
      </c>
    </row>
    <row r="70" spans="1:8" x14ac:dyDescent="0.25">
      <c r="A70" s="7" t="s">
        <v>31</v>
      </c>
      <c r="B70">
        <v>48101</v>
      </c>
      <c r="C70" s="24">
        <v>43390</v>
      </c>
      <c r="D70">
        <v>8060</v>
      </c>
      <c r="E70">
        <v>109</v>
      </c>
      <c r="F70"/>
      <c r="G70">
        <v>60</v>
      </c>
      <c r="H70">
        <v>1680</v>
      </c>
    </row>
    <row r="71" spans="1:8" x14ac:dyDescent="0.25">
      <c r="A71" s="7" t="s">
        <v>31</v>
      </c>
      <c r="B71">
        <v>48101</v>
      </c>
      <c r="C71" s="24">
        <v>43390</v>
      </c>
      <c r="D71">
        <v>8060</v>
      </c>
      <c r="E71">
        <v>110</v>
      </c>
      <c r="F71"/>
      <c r="G71">
        <v>50</v>
      </c>
      <c r="H71">
        <v>3000</v>
      </c>
    </row>
    <row r="72" spans="1:8" x14ac:dyDescent="0.25">
      <c r="A72" s="7" t="s">
        <v>31</v>
      </c>
      <c r="B72">
        <v>45427</v>
      </c>
      <c r="C72" s="24">
        <v>43394</v>
      </c>
      <c r="D72">
        <v>8050</v>
      </c>
      <c r="E72">
        <v>108</v>
      </c>
      <c r="F72"/>
      <c r="G72">
        <v>70</v>
      </c>
      <c r="H72">
        <v>1960</v>
      </c>
    </row>
    <row r="73" spans="1:8" x14ac:dyDescent="0.25">
      <c r="A73" s="7" t="s">
        <v>31</v>
      </c>
      <c r="B73">
        <v>45427</v>
      </c>
      <c r="C73" s="24">
        <v>43394</v>
      </c>
      <c r="D73">
        <v>8050</v>
      </c>
      <c r="E73">
        <v>109</v>
      </c>
      <c r="F73"/>
      <c r="G73">
        <v>60</v>
      </c>
      <c r="H73">
        <v>1680</v>
      </c>
    </row>
    <row r="74" spans="1:8" x14ac:dyDescent="0.25">
      <c r="A74" s="7" t="s">
        <v>31</v>
      </c>
      <c r="B74">
        <v>45429</v>
      </c>
      <c r="C74" s="24">
        <v>43394</v>
      </c>
      <c r="D74">
        <v>8060</v>
      </c>
      <c r="E74">
        <v>108</v>
      </c>
      <c r="F74"/>
      <c r="G74">
        <v>80</v>
      </c>
      <c r="H74">
        <v>2240</v>
      </c>
    </row>
    <row r="75" spans="1:8" x14ac:dyDescent="0.25">
      <c r="A75" s="7" t="s">
        <v>31</v>
      </c>
      <c r="B75">
        <v>45429</v>
      </c>
      <c r="C75" s="24">
        <v>43394</v>
      </c>
      <c r="D75">
        <v>8060</v>
      </c>
      <c r="E75">
        <v>109</v>
      </c>
      <c r="F75">
        <v>2</v>
      </c>
      <c r="G75">
        <v>80</v>
      </c>
      <c r="H75">
        <v>2240</v>
      </c>
    </row>
    <row r="76" spans="1:8" x14ac:dyDescent="0.25">
      <c r="A76" s="7" t="s">
        <v>31</v>
      </c>
      <c r="B76">
        <v>45429</v>
      </c>
      <c r="C76" s="24">
        <v>43394</v>
      </c>
      <c r="D76">
        <v>8060</v>
      </c>
      <c r="E76">
        <v>110</v>
      </c>
      <c r="F76"/>
      <c r="G76">
        <v>50</v>
      </c>
      <c r="H76">
        <v>3000</v>
      </c>
    </row>
    <row r="77" spans="1:8" x14ac:dyDescent="0.25">
      <c r="A77" s="7" t="s">
        <v>31</v>
      </c>
      <c r="B77">
        <v>45431</v>
      </c>
      <c r="C77" s="24">
        <v>43394</v>
      </c>
      <c r="D77">
        <v>8050</v>
      </c>
      <c r="E77">
        <v>111</v>
      </c>
      <c r="F77"/>
      <c r="G77">
        <v>60</v>
      </c>
      <c r="H77">
        <v>1200</v>
      </c>
    </row>
    <row r="78" spans="1:8" x14ac:dyDescent="0.25">
      <c r="A78" s="7" t="s">
        <v>31</v>
      </c>
      <c r="B78">
        <v>45431</v>
      </c>
      <c r="C78" s="24">
        <v>43394</v>
      </c>
      <c r="D78">
        <v>8050</v>
      </c>
      <c r="E78">
        <v>108</v>
      </c>
      <c r="F78"/>
      <c r="G78">
        <v>60</v>
      </c>
      <c r="H78">
        <v>1680</v>
      </c>
    </row>
    <row r="79" spans="1:8" x14ac:dyDescent="0.25">
      <c r="A79" s="7" t="s">
        <v>29</v>
      </c>
      <c r="B79">
        <v>24030</v>
      </c>
      <c r="C79" s="24">
        <v>43375</v>
      </c>
      <c r="D79">
        <v>8020</v>
      </c>
      <c r="E79">
        <v>101</v>
      </c>
      <c r="F79">
        <v>1</v>
      </c>
      <c r="G79">
        <v>130</v>
      </c>
      <c r="H79">
        <v>1560</v>
      </c>
    </row>
    <row r="80" spans="1:8" x14ac:dyDescent="0.25">
      <c r="A80" s="7" t="s">
        <v>29</v>
      </c>
      <c r="B80">
        <v>24030</v>
      </c>
      <c r="C80" s="24">
        <v>43375</v>
      </c>
      <c r="D80">
        <v>8020</v>
      </c>
      <c r="E80">
        <v>102</v>
      </c>
      <c r="F80"/>
      <c r="G80">
        <v>30</v>
      </c>
      <c r="H80">
        <v>360</v>
      </c>
    </row>
    <row r="81" spans="1:8" x14ac:dyDescent="0.25">
      <c r="A81" s="7" t="s">
        <v>29</v>
      </c>
      <c r="B81">
        <v>24030</v>
      </c>
      <c r="C81" s="24">
        <v>43375</v>
      </c>
      <c r="D81">
        <v>8020</v>
      </c>
      <c r="E81">
        <v>106</v>
      </c>
      <c r="F81" t="s">
        <v>88</v>
      </c>
      <c r="G81">
        <v>60</v>
      </c>
      <c r="H81">
        <v>300</v>
      </c>
    </row>
    <row r="82" spans="1:8" x14ac:dyDescent="0.25">
      <c r="A82" s="7" t="s">
        <v>29</v>
      </c>
      <c r="B82">
        <v>24030</v>
      </c>
      <c r="C82" s="24">
        <v>43375</v>
      </c>
      <c r="D82">
        <v>8020</v>
      </c>
      <c r="E82">
        <v>108</v>
      </c>
      <c r="F82"/>
      <c r="G82">
        <v>80</v>
      </c>
      <c r="H82">
        <v>2240</v>
      </c>
    </row>
    <row r="83" spans="1:8" x14ac:dyDescent="0.25">
      <c r="A83" s="7" t="s">
        <v>29</v>
      </c>
      <c r="B83">
        <v>24031</v>
      </c>
      <c r="C83" s="24">
        <v>43381</v>
      </c>
      <c r="D83">
        <v>8020</v>
      </c>
      <c r="E83">
        <v>101</v>
      </c>
      <c r="F83" t="s">
        <v>88</v>
      </c>
      <c r="G83">
        <v>100</v>
      </c>
      <c r="H83">
        <v>1200</v>
      </c>
    </row>
    <row r="84" spans="1:8" x14ac:dyDescent="0.25">
      <c r="A84" s="7" t="s">
        <v>29</v>
      </c>
      <c r="B84">
        <v>24031</v>
      </c>
      <c r="C84" s="24">
        <v>43381</v>
      </c>
      <c r="D84">
        <v>8020</v>
      </c>
      <c r="E84">
        <v>108</v>
      </c>
      <c r="F84" t="s">
        <v>88</v>
      </c>
      <c r="G84">
        <v>20</v>
      </c>
      <c r="H84">
        <v>560</v>
      </c>
    </row>
    <row r="85" spans="1:8" x14ac:dyDescent="0.25">
      <c r="A85" s="7" t="s">
        <v>29</v>
      </c>
      <c r="B85">
        <v>24031</v>
      </c>
      <c r="C85" s="24">
        <v>43381</v>
      </c>
      <c r="D85">
        <v>8020</v>
      </c>
      <c r="E85">
        <v>113</v>
      </c>
      <c r="F85" t="s">
        <v>88</v>
      </c>
      <c r="G85">
        <v>100</v>
      </c>
      <c r="H85">
        <v>2500</v>
      </c>
    </row>
    <row r="86" spans="1:8" x14ac:dyDescent="0.25">
      <c r="A86" s="7" t="s">
        <v>29</v>
      </c>
      <c r="B86">
        <v>28112</v>
      </c>
      <c r="C86" s="24">
        <v>43385</v>
      </c>
      <c r="D86">
        <v>8020</v>
      </c>
      <c r="E86">
        <v>114</v>
      </c>
      <c r="F86">
        <v>1</v>
      </c>
      <c r="G86">
        <v>50</v>
      </c>
      <c r="H86">
        <v>1250</v>
      </c>
    </row>
    <row r="87" spans="1:8" x14ac:dyDescent="0.25">
      <c r="A87" s="7" t="s">
        <v>29</v>
      </c>
      <c r="B87">
        <v>28112</v>
      </c>
      <c r="C87" s="24">
        <v>43385</v>
      </c>
      <c r="D87">
        <v>8020</v>
      </c>
      <c r="E87">
        <v>101</v>
      </c>
      <c r="F87" t="s">
        <v>88</v>
      </c>
      <c r="G87">
        <v>40</v>
      </c>
      <c r="H87">
        <v>480</v>
      </c>
    </row>
    <row r="88" spans="1:8" x14ac:dyDescent="0.25">
      <c r="A88" s="7" t="s">
        <v>29</v>
      </c>
      <c r="B88">
        <v>28112</v>
      </c>
      <c r="C88" s="24">
        <v>43385</v>
      </c>
      <c r="D88">
        <v>8020</v>
      </c>
      <c r="E88">
        <v>102</v>
      </c>
      <c r="F88"/>
      <c r="G88">
        <v>70</v>
      </c>
      <c r="H88">
        <v>840</v>
      </c>
    </row>
    <row r="89" spans="1:8" x14ac:dyDescent="0.25">
      <c r="A89" s="7" t="s">
        <v>29</v>
      </c>
      <c r="B89">
        <v>28112</v>
      </c>
      <c r="C89" s="24">
        <v>43385</v>
      </c>
      <c r="D89">
        <v>8020</v>
      </c>
      <c r="E89">
        <v>106</v>
      </c>
      <c r="F89"/>
      <c r="G89">
        <v>70</v>
      </c>
      <c r="H89">
        <v>350</v>
      </c>
    </row>
    <row r="90" spans="1:8" x14ac:dyDescent="0.25">
      <c r="A90" s="7" t="s">
        <v>29</v>
      </c>
      <c r="B90">
        <v>28112</v>
      </c>
      <c r="C90" s="24">
        <v>43385</v>
      </c>
      <c r="D90">
        <v>8020</v>
      </c>
      <c r="E90">
        <v>108</v>
      </c>
      <c r="F90"/>
      <c r="G90">
        <v>10</v>
      </c>
      <c r="H90">
        <v>280</v>
      </c>
    </row>
    <row r="91" spans="1:8" x14ac:dyDescent="0.25">
      <c r="A91" s="7" t="s">
        <v>29</v>
      </c>
      <c r="B91">
        <v>28112</v>
      </c>
      <c r="C91" s="24">
        <v>43385</v>
      </c>
      <c r="D91">
        <v>8020</v>
      </c>
      <c r="E91">
        <v>117</v>
      </c>
      <c r="F91"/>
      <c r="G91">
        <v>80</v>
      </c>
      <c r="H91">
        <v>1440</v>
      </c>
    </row>
    <row r="92" spans="1:8" x14ac:dyDescent="0.25">
      <c r="A92" s="7" t="s">
        <v>29</v>
      </c>
      <c r="B92">
        <v>28112</v>
      </c>
      <c r="C92" s="24">
        <v>43385</v>
      </c>
      <c r="D92">
        <v>8020</v>
      </c>
      <c r="E92">
        <v>118</v>
      </c>
      <c r="F92"/>
      <c r="G92">
        <v>70</v>
      </c>
      <c r="H92">
        <v>1260</v>
      </c>
    </row>
    <row r="93" spans="1:8" x14ac:dyDescent="0.25">
      <c r="A93" s="7" t="s">
        <v>29</v>
      </c>
      <c r="B93">
        <v>25442</v>
      </c>
      <c r="C93" s="24">
        <v>43389</v>
      </c>
      <c r="D93">
        <v>8010</v>
      </c>
      <c r="E93">
        <v>118</v>
      </c>
      <c r="F93"/>
      <c r="G93">
        <v>70</v>
      </c>
      <c r="H93">
        <v>1260</v>
      </c>
    </row>
    <row r="94" spans="1:8" x14ac:dyDescent="0.25">
      <c r="A94" s="7" t="s">
        <v>29</v>
      </c>
      <c r="B94">
        <v>25442</v>
      </c>
      <c r="C94" s="24">
        <v>43389</v>
      </c>
      <c r="D94">
        <v>8010</v>
      </c>
      <c r="E94">
        <v>117</v>
      </c>
      <c r="F94">
        <v>6</v>
      </c>
      <c r="G94">
        <v>80</v>
      </c>
      <c r="H94">
        <v>1440</v>
      </c>
    </row>
    <row r="95" spans="1:8" x14ac:dyDescent="0.25">
      <c r="A95" s="7" t="s">
        <v>29</v>
      </c>
      <c r="B95">
        <v>25442</v>
      </c>
      <c r="C95" s="24">
        <v>43389</v>
      </c>
      <c r="D95">
        <v>8010</v>
      </c>
      <c r="E95">
        <v>118</v>
      </c>
      <c r="F95"/>
      <c r="G95">
        <v>70</v>
      </c>
      <c r="H95">
        <v>1260</v>
      </c>
    </row>
    <row r="96" spans="1:8" x14ac:dyDescent="0.25">
      <c r="A96" s="7" t="s">
        <v>29</v>
      </c>
      <c r="B96">
        <v>25442</v>
      </c>
      <c r="C96" s="24">
        <v>43389</v>
      </c>
      <c r="D96">
        <v>8010</v>
      </c>
      <c r="E96">
        <v>116</v>
      </c>
      <c r="F96">
        <v>1</v>
      </c>
      <c r="G96">
        <v>60</v>
      </c>
      <c r="H96">
        <v>360</v>
      </c>
    </row>
    <row r="97" spans="1:8" x14ac:dyDescent="0.25">
      <c r="A97" s="7" t="s">
        <v>29</v>
      </c>
      <c r="B97">
        <v>25442</v>
      </c>
      <c r="C97" s="24">
        <v>43389</v>
      </c>
      <c r="D97">
        <v>8010</v>
      </c>
      <c r="E97">
        <v>106</v>
      </c>
      <c r="F97"/>
      <c r="G97">
        <v>20</v>
      </c>
      <c r="H97">
        <v>100</v>
      </c>
    </row>
    <row r="98" spans="1:8" x14ac:dyDescent="0.25">
      <c r="A98" s="7" t="s">
        <v>29</v>
      </c>
      <c r="B98">
        <v>25442</v>
      </c>
      <c r="C98" s="24">
        <v>43389</v>
      </c>
      <c r="D98">
        <v>8010</v>
      </c>
      <c r="E98">
        <v>101</v>
      </c>
      <c r="F98"/>
      <c r="G98">
        <v>40</v>
      </c>
      <c r="H98">
        <v>480</v>
      </c>
    </row>
    <row r="99" spans="1:8" x14ac:dyDescent="0.25">
      <c r="A99" s="7" t="s">
        <v>29</v>
      </c>
      <c r="B99">
        <v>25442</v>
      </c>
      <c r="C99" s="24">
        <v>43389</v>
      </c>
      <c r="D99">
        <v>8010</v>
      </c>
      <c r="E99">
        <v>102</v>
      </c>
      <c r="F99"/>
      <c r="G99">
        <v>10</v>
      </c>
      <c r="H99">
        <v>120</v>
      </c>
    </row>
    <row r="100" spans="1:8" x14ac:dyDescent="0.25">
      <c r="A100" s="7" t="s">
        <v>28</v>
      </c>
      <c r="B100">
        <v>66030</v>
      </c>
      <c r="C100" s="24">
        <v>43377</v>
      </c>
      <c r="D100">
        <v>8010</v>
      </c>
      <c r="E100">
        <v>103</v>
      </c>
      <c r="F100" t="s">
        <v>88</v>
      </c>
      <c r="G100">
        <v>120</v>
      </c>
      <c r="H100">
        <v>1440</v>
      </c>
    </row>
    <row r="101" spans="1:8" x14ac:dyDescent="0.25">
      <c r="A101" s="7" t="s">
        <v>28</v>
      </c>
      <c r="B101">
        <v>66030</v>
      </c>
      <c r="C101" s="24">
        <v>43377</v>
      </c>
      <c r="D101">
        <v>8010</v>
      </c>
      <c r="E101">
        <v>104</v>
      </c>
      <c r="F101"/>
      <c r="G101">
        <v>150</v>
      </c>
      <c r="H101">
        <v>1800</v>
      </c>
    </row>
    <row r="102" spans="1:8" x14ac:dyDescent="0.25">
      <c r="A102" s="7" t="s">
        <v>28</v>
      </c>
      <c r="B102">
        <v>66032</v>
      </c>
      <c r="C102" s="24">
        <v>43380</v>
      </c>
      <c r="D102">
        <v>8010</v>
      </c>
      <c r="E102">
        <v>103</v>
      </c>
      <c r="F102"/>
      <c r="G102">
        <v>170</v>
      </c>
      <c r="H102">
        <v>2040</v>
      </c>
    </row>
    <row r="103" spans="1:8" x14ac:dyDescent="0.25">
      <c r="A103" s="7" t="s">
        <v>28</v>
      </c>
      <c r="B103">
        <v>66032</v>
      </c>
      <c r="C103" s="24">
        <v>43380</v>
      </c>
      <c r="D103">
        <v>8010</v>
      </c>
      <c r="E103">
        <v>104</v>
      </c>
      <c r="F103"/>
      <c r="G103">
        <v>140</v>
      </c>
      <c r="H103">
        <v>1680</v>
      </c>
    </row>
    <row r="104" spans="1:8" x14ac:dyDescent="0.25">
      <c r="A104" s="7" t="s">
        <v>28</v>
      </c>
      <c r="B104">
        <v>66031</v>
      </c>
      <c r="C104" s="24">
        <v>43381</v>
      </c>
      <c r="D104">
        <v>8020</v>
      </c>
      <c r="E104">
        <v>103</v>
      </c>
      <c r="F104">
        <v>1</v>
      </c>
      <c r="G104">
        <v>140</v>
      </c>
      <c r="H104">
        <v>1680</v>
      </c>
    </row>
    <row r="105" spans="1:8" x14ac:dyDescent="0.25">
      <c r="A105" s="7" t="s">
        <v>28</v>
      </c>
      <c r="B105">
        <v>66031</v>
      </c>
      <c r="C105" s="24">
        <v>43381</v>
      </c>
      <c r="D105">
        <v>8020</v>
      </c>
      <c r="E105">
        <v>104</v>
      </c>
      <c r="F105"/>
      <c r="G105">
        <v>150</v>
      </c>
      <c r="H105">
        <v>1800</v>
      </c>
    </row>
    <row r="106" spans="1:8" x14ac:dyDescent="0.25">
      <c r="A106" s="7" t="s">
        <v>28</v>
      </c>
      <c r="B106">
        <v>66031</v>
      </c>
      <c r="C106" s="24">
        <v>43381</v>
      </c>
      <c r="D106">
        <v>8020</v>
      </c>
      <c r="E106">
        <v>105</v>
      </c>
      <c r="F106"/>
      <c r="G106">
        <v>100</v>
      </c>
      <c r="H106">
        <v>1000</v>
      </c>
    </row>
    <row r="107" spans="1:8" x14ac:dyDescent="0.25">
      <c r="A107" s="7" t="s">
        <v>28</v>
      </c>
      <c r="B107">
        <v>68112</v>
      </c>
      <c r="C107" s="24">
        <v>43384</v>
      </c>
      <c r="D107">
        <v>8010</v>
      </c>
      <c r="E107">
        <v>104</v>
      </c>
      <c r="F107">
        <v>4</v>
      </c>
      <c r="G107">
        <v>180</v>
      </c>
      <c r="H107">
        <v>2160</v>
      </c>
    </row>
    <row r="108" spans="1:8" x14ac:dyDescent="0.25">
      <c r="A108" s="7" t="s">
        <v>28</v>
      </c>
      <c r="B108">
        <v>68112</v>
      </c>
      <c r="C108" s="24">
        <v>43384</v>
      </c>
      <c r="D108">
        <v>8010</v>
      </c>
      <c r="E108">
        <v>105</v>
      </c>
      <c r="F108"/>
      <c r="G108">
        <v>120</v>
      </c>
      <c r="H108">
        <v>1200</v>
      </c>
    </row>
    <row r="109" spans="1:8" x14ac:dyDescent="0.25">
      <c r="A109" s="7" t="s">
        <v>28</v>
      </c>
      <c r="B109">
        <v>68116</v>
      </c>
      <c r="C109" s="24">
        <v>43384</v>
      </c>
      <c r="D109">
        <v>8020</v>
      </c>
      <c r="E109">
        <v>104</v>
      </c>
      <c r="F109"/>
      <c r="G109">
        <v>150</v>
      </c>
      <c r="H109">
        <v>1800</v>
      </c>
    </row>
    <row r="110" spans="1:8" x14ac:dyDescent="0.25">
      <c r="A110" s="7" t="s">
        <v>28</v>
      </c>
      <c r="B110">
        <v>68116</v>
      </c>
      <c r="C110" s="24">
        <v>43384</v>
      </c>
      <c r="D110">
        <v>8020</v>
      </c>
      <c r="E110">
        <v>105</v>
      </c>
      <c r="F110"/>
      <c r="G110">
        <v>190</v>
      </c>
      <c r="H110">
        <v>1900</v>
      </c>
    </row>
    <row r="111" spans="1:8" x14ac:dyDescent="0.25">
      <c r="A111" s="7" t="s">
        <v>28</v>
      </c>
      <c r="B111">
        <v>68116</v>
      </c>
      <c r="C111" s="24">
        <v>43384</v>
      </c>
      <c r="D111">
        <v>8020</v>
      </c>
      <c r="E111">
        <v>107</v>
      </c>
      <c r="F111">
        <v>2</v>
      </c>
      <c r="G111">
        <v>160</v>
      </c>
      <c r="H111">
        <v>800</v>
      </c>
    </row>
    <row r="112" spans="1:8" x14ac:dyDescent="0.25">
      <c r="A112" s="7" t="s">
        <v>28</v>
      </c>
      <c r="B112">
        <v>68116</v>
      </c>
      <c r="C112" s="24">
        <v>43384</v>
      </c>
      <c r="D112">
        <v>8010</v>
      </c>
      <c r="E112">
        <v>104</v>
      </c>
      <c r="F112"/>
      <c r="G112">
        <v>160</v>
      </c>
      <c r="H112">
        <v>1920</v>
      </c>
    </row>
    <row r="113" spans="1:8" x14ac:dyDescent="0.25">
      <c r="A113" s="7" t="s">
        <v>28</v>
      </c>
      <c r="B113">
        <v>68116</v>
      </c>
      <c r="C113" s="24">
        <v>43384</v>
      </c>
      <c r="D113">
        <v>8010</v>
      </c>
      <c r="E113">
        <v>105</v>
      </c>
      <c r="F113"/>
      <c r="G113">
        <v>190</v>
      </c>
      <c r="H113">
        <v>1900</v>
      </c>
    </row>
    <row r="114" spans="1:8" x14ac:dyDescent="0.25">
      <c r="A114" s="7" t="s">
        <v>28</v>
      </c>
      <c r="B114">
        <v>65662</v>
      </c>
      <c r="C114" s="24">
        <v>43388</v>
      </c>
      <c r="D114">
        <v>8020</v>
      </c>
      <c r="E114">
        <v>103</v>
      </c>
      <c r="F114"/>
      <c r="G114">
        <v>120</v>
      </c>
      <c r="H114">
        <v>1440</v>
      </c>
    </row>
    <row r="115" spans="1:8" x14ac:dyDescent="0.25">
      <c r="A115" s="7" t="s">
        <v>28</v>
      </c>
      <c r="B115">
        <v>65662</v>
      </c>
      <c r="C115" s="24">
        <v>43388</v>
      </c>
      <c r="D115">
        <v>8020</v>
      </c>
      <c r="E115">
        <v>104</v>
      </c>
      <c r="F115"/>
      <c r="G115">
        <v>110</v>
      </c>
      <c r="H115">
        <v>1320</v>
      </c>
    </row>
    <row r="116" spans="1:8" x14ac:dyDescent="0.25">
      <c r="A116" s="7" t="s">
        <v>28</v>
      </c>
      <c r="B116">
        <v>65666</v>
      </c>
      <c r="C116" s="24">
        <v>43388</v>
      </c>
      <c r="D116">
        <v>8010</v>
      </c>
      <c r="E116">
        <v>103</v>
      </c>
      <c r="F116"/>
      <c r="G116">
        <v>120</v>
      </c>
      <c r="H116">
        <v>1440</v>
      </c>
    </row>
    <row r="117" spans="1:8" x14ac:dyDescent="0.25">
      <c r="A117" s="7" t="s">
        <v>28</v>
      </c>
      <c r="B117">
        <v>65666</v>
      </c>
      <c r="C117" s="24">
        <v>43388</v>
      </c>
      <c r="D117">
        <v>8010</v>
      </c>
      <c r="E117">
        <v>104</v>
      </c>
      <c r="F117"/>
      <c r="G117">
        <v>140</v>
      </c>
      <c r="H117">
        <v>1680</v>
      </c>
    </row>
    <row r="118" spans="1:8" x14ac:dyDescent="0.25">
      <c r="A118" s="7" t="s">
        <v>28</v>
      </c>
      <c r="B118">
        <v>65666</v>
      </c>
      <c r="C118" s="24">
        <v>43388</v>
      </c>
      <c r="D118">
        <v>8010</v>
      </c>
      <c r="E118">
        <v>105</v>
      </c>
      <c r="F118"/>
      <c r="G118">
        <v>160</v>
      </c>
      <c r="H118">
        <v>1600</v>
      </c>
    </row>
    <row r="119" spans="1:8" x14ac:dyDescent="0.25">
      <c r="A119" s="7" t="s">
        <v>28</v>
      </c>
      <c r="B119">
        <v>65666</v>
      </c>
      <c r="C119" s="24">
        <v>43388</v>
      </c>
      <c r="D119">
        <v>8020</v>
      </c>
      <c r="E119">
        <v>107</v>
      </c>
      <c r="F119"/>
      <c r="G119">
        <v>120</v>
      </c>
      <c r="H119">
        <v>600</v>
      </c>
    </row>
    <row r="120" spans="1:8" x14ac:dyDescent="0.25">
      <c r="A120" s="7" t="s">
        <v>28</v>
      </c>
      <c r="B120">
        <v>65666</v>
      </c>
      <c r="C120" s="24">
        <v>43388</v>
      </c>
      <c r="D120">
        <v>8020</v>
      </c>
      <c r="E120">
        <v>103</v>
      </c>
      <c r="F120"/>
      <c r="G120">
        <v>200</v>
      </c>
      <c r="H120">
        <v>2400</v>
      </c>
    </row>
    <row r="121" spans="1:8" x14ac:dyDescent="0.25">
      <c r="A121" s="7" t="s">
        <v>28</v>
      </c>
      <c r="B121">
        <v>66015</v>
      </c>
      <c r="C121" s="24">
        <v>43383</v>
      </c>
      <c r="D121">
        <v>8010</v>
      </c>
      <c r="E121">
        <v>103</v>
      </c>
      <c r="F121"/>
      <c r="G121">
        <v>140</v>
      </c>
      <c r="H121">
        <v>1680</v>
      </c>
    </row>
    <row r="122" spans="1:8" x14ac:dyDescent="0.25">
      <c r="A122" s="7" t="s">
        <v>28</v>
      </c>
      <c r="B122">
        <v>66015</v>
      </c>
      <c r="C122" s="24">
        <v>43383</v>
      </c>
      <c r="D122">
        <v>8010</v>
      </c>
      <c r="E122">
        <v>104</v>
      </c>
      <c r="F122"/>
      <c r="G122">
        <v>140</v>
      </c>
      <c r="H122">
        <v>1680</v>
      </c>
    </row>
    <row r="123" spans="1:8" x14ac:dyDescent="0.25">
      <c r="A123" s="7" t="s">
        <v>28</v>
      </c>
      <c r="B123">
        <v>66017</v>
      </c>
      <c r="C123" s="24">
        <v>43386</v>
      </c>
      <c r="D123">
        <v>8010</v>
      </c>
      <c r="E123">
        <v>103</v>
      </c>
      <c r="F123"/>
      <c r="G123">
        <v>140</v>
      </c>
      <c r="H123">
        <v>1680</v>
      </c>
    </row>
    <row r="124" spans="1:8" x14ac:dyDescent="0.25">
      <c r="A124" s="7" t="s">
        <v>28</v>
      </c>
      <c r="B124">
        <v>66017</v>
      </c>
      <c r="C124" s="24">
        <v>43386</v>
      </c>
      <c r="D124">
        <v>8010</v>
      </c>
      <c r="E124">
        <v>104</v>
      </c>
      <c r="F124"/>
      <c r="G124">
        <v>140</v>
      </c>
      <c r="H124">
        <v>1680</v>
      </c>
    </row>
    <row r="125" spans="1:8" x14ac:dyDescent="0.25">
      <c r="A125" s="7" t="s">
        <v>28</v>
      </c>
      <c r="B125">
        <v>66016</v>
      </c>
      <c r="C125" s="24">
        <v>43387</v>
      </c>
      <c r="D125">
        <v>8020</v>
      </c>
      <c r="E125">
        <v>103</v>
      </c>
      <c r="F125"/>
      <c r="G125">
        <v>120</v>
      </c>
      <c r="H125">
        <v>1440</v>
      </c>
    </row>
    <row r="126" spans="1:8" x14ac:dyDescent="0.25">
      <c r="A126" s="7" t="s">
        <v>28</v>
      </c>
      <c r="B126">
        <v>66016</v>
      </c>
      <c r="C126" s="24">
        <v>43387</v>
      </c>
      <c r="D126">
        <v>8020</v>
      </c>
      <c r="E126">
        <v>104</v>
      </c>
      <c r="F126"/>
      <c r="G126">
        <v>130</v>
      </c>
      <c r="H126">
        <v>1560</v>
      </c>
    </row>
    <row r="127" spans="1:8" x14ac:dyDescent="0.25">
      <c r="A127" s="7" t="s">
        <v>28</v>
      </c>
      <c r="B127">
        <v>66016</v>
      </c>
      <c r="C127" s="24">
        <v>43387</v>
      </c>
      <c r="D127">
        <v>8020</v>
      </c>
      <c r="E127">
        <v>105</v>
      </c>
      <c r="F127"/>
      <c r="G127">
        <v>120</v>
      </c>
      <c r="H127">
        <v>1200</v>
      </c>
    </row>
    <row r="128" spans="1:8" x14ac:dyDescent="0.25">
      <c r="A128" s="7" t="s">
        <v>28</v>
      </c>
      <c r="B128">
        <v>68097</v>
      </c>
      <c r="C128" s="24">
        <v>43390</v>
      </c>
      <c r="D128">
        <v>8010</v>
      </c>
      <c r="E128">
        <v>104</v>
      </c>
      <c r="F128"/>
      <c r="G128">
        <v>140</v>
      </c>
      <c r="H128">
        <v>1680</v>
      </c>
    </row>
    <row r="129" spans="1:8" x14ac:dyDescent="0.25">
      <c r="A129" s="7" t="s">
        <v>28</v>
      </c>
      <c r="B129">
        <v>68097</v>
      </c>
      <c r="C129" s="24">
        <v>43390</v>
      </c>
      <c r="D129">
        <v>8010</v>
      </c>
      <c r="E129">
        <v>105</v>
      </c>
      <c r="F129"/>
      <c r="G129">
        <v>130</v>
      </c>
      <c r="H129">
        <v>1300</v>
      </c>
    </row>
    <row r="130" spans="1:8" x14ac:dyDescent="0.25">
      <c r="A130" s="7" t="s">
        <v>28</v>
      </c>
      <c r="B130">
        <v>68099</v>
      </c>
      <c r="C130" s="24">
        <v>43390</v>
      </c>
      <c r="D130">
        <v>8020</v>
      </c>
      <c r="E130">
        <v>104</v>
      </c>
      <c r="F130"/>
      <c r="G130">
        <v>120</v>
      </c>
      <c r="H130">
        <v>1440</v>
      </c>
    </row>
    <row r="131" spans="1:8" x14ac:dyDescent="0.25">
      <c r="A131" s="7" t="s">
        <v>28</v>
      </c>
      <c r="B131">
        <v>68099</v>
      </c>
      <c r="C131" s="24">
        <v>43390</v>
      </c>
      <c r="D131">
        <v>8020</v>
      </c>
      <c r="E131">
        <v>105</v>
      </c>
      <c r="F131">
        <v>2</v>
      </c>
      <c r="G131">
        <v>140</v>
      </c>
      <c r="H131">
        <v>1400</v>
      </c>
    </row>
    <row r="132" spans="1:8" x14ac:dyDescent="0.25">
      <c r="A132" s="7" t="s">
        <v>28</v>
      </c>
      <c r="B132">
        <v>68099</v>
      </c>
      <c r="C132" s="24">
        <v>43390</v>
      </c>
      <c r="D132">
        <v>8020</v>
      </c>
      <c r="E132">
        <v>107</v>
      </c>
      <c r="F132"/>
      <c r="G132">
        <v>170</v>
      </c>
      <c r="H132">
        <v>850</v>
      </c>
    </row>
    <row r="133" spans="1:8" x14ac:dyDescent="0.25">
      <c r="A133" s="7" t="s">
        <v>28</v>
      </c>
      <c r="B133">
        <v>68101</v>
      </c>
      <c r="C133" s="24">
        <v>43390</v>
      </c>
      <c r="D133">
        <v>8010</v>
      </c>
      <c r="E133">
        <v>104</v>
      </c>
      <c r="F133"/>
      <c r="G133">
        <v>190</v>
      </c>
      <c r="H133">
        <v>2280</v>
      </c>
    </row>
    <row r="134" spans="1:8" x14ac:dyDescent="0.25">
      <c r="A134" s="7" t="s">
        <v>28</v>
      </c>
      <c r="B134">
        <v>68101</v>
      </c>
      <c r="C134" s="24">
        <v>43390</v>
      </c>
      <c r="D134">
        <v>8010</v>
      </c>
      <c r="E134">
        <v>105</v>
      </c>
      <c r="F134"/>
      <c r="G134">
        <v>140</v>
      </c>
      <c r="H134">
        <v>1400</v>
      </c>
    </row>
    <row r="135" spans="1:8" x14ac:dyDescent="0.25">
      <c r="A135" s="7" t="s">
        <v>28</v>
      </c>
      <c r="B135">
        <v>65627</v>
      </c>
      <c r="C135" s="24">
        <v>43394</v>
      </c>
      <c r="D135">
        <v>8020</v>
      </c>
      <c r="E135">
        <v>103</v>
      </c>
      <c r="F135"/>
      <c r="G135">
        <v>140</v>
      </c>
      <c r="H135">
        <v>1680</v>
      </c>
    </row>
    <row r="136" spans="1:8" x14ac:dyDescent="0.25">
      <c r="A136" s="7" t="s">
        <v>28</v>
      </c>
      <c r="B136">
        <v>65627</v>
      </c>
      <c r="C136" s="24">
        <v>43394</v>
      </c>
      <c r="D136">
        <v>8020</v>
      </c>
      <c r="E136">
        <v>104</v>
      </c>
      <c r="F136">
        <v>3</v>
      </c>
      <c r="G136">
        <v>160</v>
      </c>
      <c r="H136">
        <v>1920</v>
      </c>
    </row>
    <row r="137" spans="1:8" x14ac:dyDescent="0.25">
      <c r="A137" s="7" t="s">
        <v>28</v>
      </c>
      <c r="B137">
        <v>65629</v>
      </c>
      <c r="C137" s="24">
        <v>43394</v>
      </c>
      <c r="D137">
        <v>8010</v>
      </c>
      <c r="E137">
        <v>103</v>
      </c>
      <c r="F137"/>
      <c r="G137">
        <v>190</v>
      </c>
      <c r="H137">
        <v>2280</v>
      </c>
    </row>
    <row r="138" spans="1:8" x14ac:dyDescent="0.25">
      <c r="A138" s="7" t="s">
        <v>28</v>
      </c>
      <c r="B138">
        <v>65629</v>
      </c>
      <c r="C138" s="24">
        <v>43394</v>
      </c>
      <c r="D138">
        <v>8010</v>
      </c>
      <c r="E138">
        <v>104</v>
      </c>
      <c r="F138"/>
      <c r="G138">
        <v>130</v>
      </c>
      <c r="H138">
        <v>1560</v>
      </c>
    </row>
    <row r="139" spans="1:8" x14ac:dyDescent="0.25">
      <c r="A139" s="7" t="s">
        <v>28</v>
      </c>
      <c r="B139">
        <v>65629</v>
      </c>
      <c r="C139" s="24">
        <v>43394</v>
      </c>
      <c r="D139">
        <v>8010</v>
      </c>
      <c r="E139">
        <v>105</v>
      </c>
      <c r="F139"/>
      <c r="G139">
        <v>140</v>
      </c>
      <c r="H139">
        <v>1400</v>
      </c>
    </row>
    <row r="140" spans="1:8" x14ac:dyDescent="0.25">
      <c r="A140" s="7" t="s">
        <v>28</v>
      </c>
      <c r="B140">
        <v>65631</v>
      </c>
      <c r="C140" s="24">
        <v>43394</v>
      </c>
      <c r="D140">
        <v>8020</v>
      </c>
      <c r="E140">
        <v>107</v>
      </c>
      <c r="F140"/>
      <c r="G140">
        <v>190</v>
      </c>
      <c r="H140">
        <v>950</v>
      </c>
    </row>
    <row r="141" spans="1:8" x14ac:dyDescent="0.25">
      <c r="A141" s="7" t="s">
        <v>28</v>
      </c>
      <c r="B141">
        <v>65631</v>
      </c>
      <c r="C141" s="24">
        <v>43394</v>
      </c>
      <c r="D141">
        <v>8020</v>
      </c>
      <c r="E141">
        <v>103</v>
      </c>
      <c r="F141"/>
      <c r="G141">
        <v>120</v>
      </c>
      <c r="H141">
        <v>1440</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Region"/>
  <dimension ref="A1:AO64"/>
  <sheetViews>
    <sheetView showGridLines="0" zoomScale="80" zoomScaleNormal="80" workbookViewId="0">
      <selection activeCell="D5" sqref="D5"/>
    </sheetView>
  </sheetViews>
  <sheetFormatPr defaultRowHeight="12.5" x14ac:dyDescent="0.25"/>
  <cols>
    <col min="1" max="1" width="13.54296875" customWidth="1"/>
    <col min="2" max="2" width="17.08984375" customWidth="1"/>
    <col min="3" max="3" width="16.26953125" style="24" customWidth="1"/>
    <col min="4" max="4" width="16.1796875" customWidth="1"/>
    <col min="5" max="7" width="15.453125" customWidth="1"/>
    <col min="8" max="8" width="21.36328125" customWidth="1"/>
    <col min="9" max="10" width="16.7265625" customWidth="1"/>
    <col min="11" max="11" width="17.7265625" customWidth="1"/>
    <col min="12" max="12" width="22.08984375" customWidth="1"/>
    <col min="13" max="13" width="16.26953125" customWidth="1"/>
    <col min="19" max="19" width="3.1796875" style="44" customWidth="1"/>
    <col min="20" max="20" width="17.36328125" customWidth="1"/>
    <col min="21" max="21" width="21.26953125" bestFit="1" customWidth="1"/>
    <col min="22" max="22" width="11.90625" customWidth="1"/>
    <col min="23" max="23" width="11" customWidth="1"/>
    <col min="24" max="24" width="5" style="44" customWidth="1"/>
    <col min="25" max="25" width="29.08984375" bestFit="1" customWidth="1"/>
    <col min="26" max="27" width="10.90625" customWidth="1"/>
    <col min="28" max="28" width="10.54296875" customWidth="1"/>
    <col min="29" max="29" width="27.453125" bestFit="1" customWidth="1"/>
    <col min="36" max="36" width="27.81640625" customWidth="1"/>
    <col min="37" max="38" width="19.7265625" customWidth="1"/>
  </cols>
  <sheetData>
    <row r="1" spans="1:41" ht="24" customHeight="1" x14ac:dyDescent="0.3">
      <c r="A1" s="25" t="s">
        <v>39</v>
      </c>
      <c r="B1" s="25" t="s">
        <v>2</v>
      </c>
      <c r="C1" s="26" t="s">
        <v>40</v>
      </c>
      <c r="D1" s="25" t="s">
        <v>49</v>
      </c>
      <c r="E1" s="25" t="s">
        <v>52</v>
      </c>
      <c r="F1" s="25" t="s">
        <v>43</v>
      </c>
      <c r="G1" s="25" t="s">
        <v>41</v>
      </c>
      <c r="H1" s="25" t="s">
        <v>89</v>
      </c>
      <c r="I1" s="25" t="s">
        <v>35</v>
      </c>
      <c r="J1" s="25" t="s">
        <v>44</v>
      </c>
      <c r="K1" s="25" t="s">
        <v>90</v>
      </c>
      <c r="L1" s="25" t="s">
        <v>3</v>
      </c>
      <c r="M1" s="25" t="s">
        <v>91</v>
      </c>
      <c r="S1" s="43"/>
      <c r="T1" s="28" t="s">
        <v>92</v>
      </c>
      <c r="U1" s="27"/>
      <c r="V1" s="29">
        <v>201810</v>
      </c>
      <c r="X1" s="43"/>
      <c r="Y1" s="28" t="s">
        <v>98</v>
      </c>
      <c r="Z1" s="27"/>
      <c r="AA1" s="27"/>
      <c r="AB1" s="27"/>
      <c r="AC1" s="27"/>
      <c r="AD1" s="27"/>
      <c r="AE1" s="27"/>
      <c r="AF1" s="27"/>
      <c r="AG1" s="27"/>
      <c r="AH1" s="27"/>
      <c r="AJ1" s="40"/>
      <c r="AK1" s="28" t="s">
        <v>102</v>
      </c>
      <c r="AL1" s="28"/>
      <c r="AM1" s="27"/>
      <c r="AN1" s="27"/>
      <c r="AO1" s="27"/>
    </row>
    <row r="2" spans="1:41" x14ac:dyDescent="0.25">
      <c r="A2" t="s">
        <v>29</v>
      </c>
      <c r="B2">
        <v>24030</v>
      </c>
      <c r="C2" s="24">
        <v>43375</v>
      </c>
      <c r="D2">
        <v>8020</v>
      </c>
      <c r="E2">
        <v>101</v>
      </c>
      <c r="F2">
        <v>1</v>
      </c>
      <c r="G2">
        <v>130</v>
      </c>
      <c r="H2">
        <v>1560</v>
      </c>
      <c r="I2" t="str">
        <f>VLOOKUP(RegionalData[[#This Row],[Company ID]],MCompany[],2,0)</f>
        <v>Meta Creations</v>
      </c>
      <c r="J2" t="str">
        <f>VLOOKUP(RegionalData[[#This Row],[Customer code]],MCustomer[],2,0)</f>
        <v>Erma</v>
      </c>
      <c r="K2" t="str">
        <f>VLOOKUP(RegionalData[[#This Row],[Article code]],MArticle[],2,0)</f>
        <v>Men type T simple white</v>
      </c>
      <c r="L2" t="str">
        <f>VLOOKUP(RegionalData[[#This Row],[Company ID]],MCompany[],3,0)</f>
        <v>USD</v>
      </c>
      <c r="M2">
        <f>IF(RegionalData[[#This Row],[Currency]]="EUR",ROUND(VLOOKUP(MONTH(RegionalData[[#This Row],[Document Date]]),MExchange[],2,0)*RegionalData[[#This Row],[Sales Local Currency]],0),RegionalData[[#This Row],[Sales Local Currency]])</f>
        <v>1560</v>
      </c>
    </row>
    <row r="3" spans="1:41" x14ac:dyDescent="0.25">
      <c r="A3" t="s">
        <v>29</v>
      </c>
      <c r="B3">
        <v>24030</v>
      </c>
      <c r="C3" s="24">
        <v>43375</v>
      </c>
      <c r="D3">
        <v>8020</v>
      </c>
      <c r="E3">
        <v>102</v>
      </c>
      <c r="G3">
        <v>30</v>
      </c>
      <c r="H3">
        <v>360</v>
      </c>
      <c r="I3" s="45" t="str">
        <f>VLOOKUP(RegionalData[[#This Row],[Company ID]],MCompany[],2,0)</f>
        <v>Meta Creations</v>
      </c>
      <c r="J3" s="45" t="str">
        <f>VLOOKUP(RegionalData[[#This Row],[Customer code]],MCustomer[],2,0)</f>
        <v>Erma</v>
      </c>
      <c r="K3" s="45" t="str">
        <f>VLOOKUP(RegionalData[[#This Row],[Article code]],MArticle[],2,0)</f>
        <v>Men type T simple black</v>
      </c>
      <c r="L3" s="45" t="str">
        <f>VLOOKUP(RegionalData[[#This Row],[Company ID]],MCompany[],3,0)</f>
        <v>USD</v>
      </c>
      <c r="M3" s="45">
        <f>IF(RegionalData[[#This Row],[Currency]]="EUR",ROUND(VLOOKUP(MONTH(RegionalData[[#This Row],[Document Date]]),MExchange[],2,0)*RegionalData[[#This Row],[Sales Local Currency]],0),RegionalData[[#This Row],[Sales Local Currency]])</f>
        <v>360</v>
      </c>
    </row>
    <row r="4" spans="1:41" x14ac:dyDescent="0.25">
      <c r="A4" t="s">
        <v>29</v>
      </c>
      <c r="B4">
        <v>24030</v>
      </c>
      <c r="C4" s="24">
        <v>43375</v>
      </c>
      <c r="D4">
        <v>8020</v>
      </c>
      <c r="E4">
        <v>106</v>
      </c>
      <c r="F4" t="s">
        <v>88</v>
      </c>
      <c r="G4">
        <v>60</v>
      </c>
      <c r="H4">
        <v>300</v>
      </c>
      <c r="I4" s="45" t="str">
        <f>VLOOKUP(RegionalData[[#This Row],[Company ID]],MCompany[],2,0)</f>
        <v>Meta Creations</v>
      </c>
      <c r="J4" s="45" t="str">
        <f>VLOOKUP(RegionalData[[#This Row],[Customer code]],MCustomer[],2,0)</f>
        <v>Erma</v>
      </c>
      <c r="K4" s="45" t="str">
        <f>VLOOKUP(RegionalData[[#This Row],[Article code]],MArticle[],2,0)</f>
        <v>Men basics</v>
      </c>
      <c r="L4" s="45" t="str">
        <f>VLOOKUP(RegionalData[[#This Row],[Company ID]],MCompany[],3,0)</f>
        <v>USD</v>
      </c>
      <c r="M4" s="45">
        <f>IF(RegionalData[[#This Row],[Currency]]="EUR",ROUND(VLOOKUP(MONTH(RegionalData[[#This Row],[Document Date]]),MExchange[],2,0)*RegionalData[[#This Row],[Sales Local Currency]],0),RegionalData[[#This Row],[Sales Local Currency]])</f>
        <v>300</v>
      </c>
      <c r="T4" s="30" t="s">
        <v>93</v>
      </c>
      <c r="U4" s="35" t="s">
        <v>94</v>
      </c>
      <c r="V4" t="s">
        <v>95</v>
      </c>
      <c r="AC4" s="30" t="s">
        <v>90</v>
      </c>
      <c r="AD4" s="35" t="s">
        <v>100</v>
      </c>
      <c r="AE4" s="35" t="s">
        <v>101</v>
      </c>
      <c r="AJ4" s="30" t="s">
        <v>97</v>
      </c>
      <c r="AK4" s="42" t="s">
        <v>103</v>
      </c>
      <c r="AL4" s="35" t="s">
        <v>104</v>
      </c>
    </row>
    <row r="5" spans="1:41" x14ac:dyDescent="0.25">
      <c r="A5" t="s">
        <v>29</v>
      </c>
      <c r="B5">
        <v>24030</v>
      </c>
      <c r="C5" s="24">
        <v>43375</v>
      </c>
      <c r="D5">
        <v>8020</v>
      </c>
      <c r="E5">
        <v>108</v>
      </c>
      <c r="G5">
        <v>80</v>
      </c>
      <c r="H5">
        <v>2240</v>
      </c>
      <c r="I5" s="45" t="str">
        <f>VLOOKUP(RegionalData[[#This Row],[Company ID]],MCompany[],2,0)</f>
        <v>Meta Creations</v>
      </c>
      <c r="J5" s="45" t="str">
        <f>VLOOKUP(RegionalData[[#This Row],[Customer code]],MCustomer[],2,0)</f>
        <v>Erma</v>
      </c>
      <c r="K5" s="45" t="str">
        <f>VLOOKUP(RegionalData[[#This Row],[Article code]],MArticle[],2,0)</f>
        <v>Laptop bag black</v>
      </c>
      <c r="L5" s="45" t="str">
        <f>VLOOKUP(RegionalData[[#This Row],[Company ID]],MCompany[],3,0)</f>
        <v>USD</v>
      </c>
      <c r="M5" s="45">
        <f>IF(RegionalData[[#This Row],[Currency]]="EUR",ROUND(VLOOKUP(MONTH(RegionalData[[#This Row],[Document Date]]),MExchange[],2,0)*RegionalData[[#This Row],[Sales Local Currency]],0),RegionalData[[#This Row],[Sales Local Currency]])</f>
        <v>2240</v>
      </c>
      <c r="T5" t="s">
        <v>47</v>
      </c>
      <c r="U5" s="34">
        <v>43240</v>
      </c>
      <c r="V5" s="36">
        <v>0.50431537205505017</v>
      </c>
      <c r="AC5" t="s">
        <v>11</v>
      </c>
      <c r="AD5" s="45">
        <v>0</v>
      </c>
      <c r="AE5" s="39">
        <v>0</v>
      </c>
      <c r="AJ5" s="31" t="s">
        <v>46</v>
      </c>
      <c r="AK5" s="37"/>
      <c r="AL5" s="37"/>
    </row>
    <row r="6" spans="1:41" x14ac:dyDescent="0.25">
      <c r="A6" t="s">
        <v>29</v>
      </c>
      <c r="B6">
        <v>24031</v>
      </c>
      <c r="C6" s="24">
        <v>43381</v>
      </c>
      <c r="D6">
        <v>8020</v>
      </c>
      <c r="E6">
        <v>101</v>
      </c>
      <c r="F6" t="s">
        <v>88</v>
      </c>
      <c r="G6">
        <v>100</v>
      </c>
      <c r="H6">
        <v>1200</v>
      </c>
      <c r="I6" s="45" t="str">
        <f>VLOOKUP(RegionalData[[#This Row],[Company ID]],MCompany[],2,0)</f>
        <v>Meta Creations</v>
      </c>
      <c r="J6" s="45" t="str">
        <f>VLOOKUP(RegionalData[[#This Row],[Customer code]],MCustomer[],2,0)</f>
        <v>Erma</v>
      </c>
      <c r="K6" s="45" t="str">
        <f>VLOOKUP(RegionalData[[#This Row],[Article code]],MArticle[],2,0)</f>
        <v>Men type T simple white</v>
      </c>
      <c r="L6" s="45" t="str">
        <f>VLOOKUP(RegionalData[[#This Row],[Company ID]],MCompany[],3,0)</f>
        <v>USD</v>
      </c>
      <c r="M6" s="45">
        <f>IF(RegionalData[[#This Row],[Currency]]="EUR",ROUND(VLOOKUP(MONTH(RegionalData[[#This Row],[Document Date]]),MExchange[],2,0)*RegionalData[[#This Row],[Sales Local Currency]],0),RegionalData[[#This Row],[Sales Local Currency]])</f>
        <v>1200</v>
      </c>
      <c r="T6" t="s">
        <v>45</v>
      </c>
      <c r="U6" s="34">
        <v>42500</v>
      </c>
      <c r="V6" s="36">
        <v>0.49568462794494983</v>
      </c>
      <c r="AC6" t="s">
        <v>5</v>
      </c>
      <c r="AD6" s="45">
        <v>0</v>
      </c>
      <c r="AE6" s="39">
        <v>0</v>
      </c>
      <c r="AJ6" s="32" t="s">
        <v>19</v>
      </c>
      <c r="AK6" s="37">
        <v>360</v>
      </c>
      <c r="AL6" s="37">
        <v>60</v>
      </c>
    </row>
    <row r="7" spans="1:41" x14ac:dyDescent="0.25">
      <c r="A7" t="s">
        <v>29</v>
      </c>
      <c r="B7">
        <v>24031</v>
      </c>
      <c r="C7" s="24">
        <v>43381</v>
      </c>
      <c r="D7">
        <v>8020</v>
      </c>
      <c r="E7">
        <v>108</v>
      </c>
      <c r="F7" t="s">
        <v>88</v>
      </c>
      <c r="G7">
        <v>20</v>
      </c>
      <c r="H7">
        <v>560</v>
      </c>
      <c r="I7" s="45" t="str">
        <f>VLOOKUP(RegionalData[[#This Row],[Company ID]],MCompany[],2,0)</f>
        <v>Meta Creations</v>
      </c>
      <c r="J7" s="45" t="str">
        <f>VLOOKUP(RegionalData[[#This Row],[Customer code]],MCustomer[],2,0)</f>
        <v>Erma</v>
      </c>
      <c r="K7" s="45" t="str">
        <f>VLOOKUP(RegionalData[[#This Row],[Article code]],MArticle[],2,0)</f>
        <v>Laptop bag black</v>
      </c>
      <c r="L7" s="45" t="str">
        <f>VLOOKUP(RegionalData[[#This Row],[Company ID]],MCompany[],3,0)</f>
        <v>USD</v>
      </c>
      <c r="M7" s="45">
        <f>IF(RegionalData[[#This Row],[Currency]]="EUR",ROUND(VLOOKUP(MONTH(RegionalData[[#This Row],[Document Date]]),MExchange[],2,0)*RegionalData[[#This Row],[Sales Local Currency]],0),RegionalData[[#This Row],[Sales Local Currency]])</f>
        <v>560</v>
      </c>
      <c r="T7" t="s">
        <v>96</v>
      </c>
      <c r="U7" s="34">
        <v>85740</v>
      </c>
      <c r="V7" s="36">
        <v>1</v>
      </c>
      <c r="AC7" t="s">
        <v>16</v>
      </c>
      <c r="AD7" s="45">
        <v>0</v>
      </c>
      <c r="AE7" s="39">
        <v>0</v>
      </c>
      <c r="AJ7" s="33" t="s">
        <v>45</v>
      </c>
      <c r="AK7" s="37">
        <v>360</v>
      </c>
      <c r="AL7" s="37">
        <v>60</v>
      </c>
    </row>
    <row r="8" spans="1:41" x14ac:dyDescent="0.25">
      <c r="A8" t="s">
        <v>29</v>
      </c>
      <c r="B8">
        <v>24031</v>
      </c>
      <c r="C8" s="24">
        <v>43381</v>
      </c>
      <c r="D8">
        <v>8020</v>
      </c>
      <c r="E8">
        <v>113</v>
      </c>
      <c r="F8" t="s">
        <v>88</v>
      </c>
      <c r="G8">
        <v>100</v>
      </c>
      <c r="H8">
        <v>2500</v>
      </c>
      <c r="I8" s="45" t="str">
        <f>VLOOKUP(RegionalData[[#This Row],[Company ID]],MCompany[],2,0)</f>
        <v>Meta Creations</v>
      </c>
      <c r="J8" s="45" t="str">
        <f>VLOOKUP(RegionalData[[#This Row],[Customer code]],MCustomer[],2,0)</f>
        <v>Erma</v>
      </c>
      <c r="K8" s="45" t="str">
        <f>VLOOKUP(RegionalData[[#This Row],[Article code]],MArticle[],2,0)</f>
        <v>Men dress shirt black</v>
      </c>
      <c r="L8" s="45" t="str">
        <f>VLOOKUP(RegionalData[[#This Row],[Company ID]],MCompany[],3,0)</f>
        <v>USD</v>
      </c>
      <c r="M8" s="45">
        <f>IF(RegionalData[[#This Row],[Currency]]="EUR",ROUND(VLOOKUP(MONTH(RegionalData[[#This Row],[Document Date]]),MExchange[],2,0)*RegionalData[[#This Row],[Sales Local Currency]],0),RegionalData[[#This Row],[Sales Local Currency]])</f>
        <v>2500</v>
      </c>
      <c r="Y8" s="30" t="s">
        <v>105</v>
      </c>
      <c r="Z8" s="35" t="s">
        <v>94</v>
      </c>
      <c r="AA8" s="35" t="s">
        <v>99</v>
      </c>
      <c r="AC8" t="s">
        <v>17</v>
      </c>
      <c r="AD8" s="45">
        <v>1</v>
      </c>
      <c r="AE8" s="39">
        <v>0.02</v>
      </c>
      <c r="AJ8" s="32" t="s">
        <v>11</v>
      </c>
      <c r="AK8" s="37">
        <v>3080</v>
      </c>
      <c r="AL8" s="37">
        <v>110</v>
      </c>
    </row>
    <row r="9" spans="1:41" x14ac:dyDescent="0.25">
      <c r="A9" t="s">
        <v>29</v>
      </c>
      <c r="B9">
        <v>28112</v>
      </c>
      <c r="C9" s="24">
        <v>43385</v>
      </c>
      <c r="D9">
        <v>8020</v>
      </c>
      <c r="E9">
        <v>114</v>
      </c>
      <c r="F9">
        <v>1</v>
      </c>
      <c r="G9">
        <v>50</v>
      </c>
      <c r="H9">
        <v>1250</v>
      </c>
      <c r="I9" s="45" t="str">
        <f>VLOOKUP(RegionalData[[#This Row],[Company ID]],MCompany[],2,0)</f>
        <v>Meta Creations</v>
      </c>
      <c r="J9" s="45" t="str">
        <f>VLOOKUP(RegionalData[[#This Row],[Customer code]],MCustomer[],2,0)</f>
        <v>Erma</v>
      </c>
      <c r="K9" s="45" t="str">
        <f>VLOOKUP(RegionalData[[#This Row],[Article code]],MArticle[],2,0)</f>
        <v>Men dress shirt grey</v>
      </c>
      <c r="L9" s="45" t="str">
        <f>VLOOKUP(RegionalData[[#This Row],[Company ID]],MCompany[],3,0)</f>
        <v>USD</v>
      </c>
      <c r="M9" s="45">
        <f>IF(RegionalData[[#This Row],[Currency]]="EUR",ROUND(VLOOKUP(MONTH(RegionalData[[#This Row],[Document Date]]),MExchange[],2,0)*RegionalData[[#This Row],[Sales Local Currency]],0),RegionalData[[#This Row],[Sales Local Currency]])</f>
        <v>1250</v>
      </c>
      <c r="Y9" t="s">
        <v>11</v>
      </c>
      <c r="Z9" s="37">
        <v>3080</v>
      </c>
      <c r="AA9" s="38">
        <v>110</v>
      </c>
      <c r="AC9" t="s">
        <v>21</v>
      </c>
      <c r="AD9" s="45"/>
      <c r="AE9" s="39">
        <v>0</v>
      </c>
      <c r="AJ9" s="33" t="s">
        <v>47</v>
      </c>
      <c r="AK9" s="37">
        <v>3080</v>
      </c>
      <c r="AL9" s="37">
        <v>110</v>
      </c>
    </row>
    <row r="10" spans="1:41" x14ac:dyDescent="0.25">
      <c r="A10" t="s">
        <v>29</v>
      </c>
      <c r="B10">
        <v>28112</v>
      </c>
      <c r="C10" s="24">
        <v>43385</v>
      </c>
      <c r="D10">
        <v>8020</v>
      </c>
      <c r="E10">
        <v>101</v>
      </c>
      <c r="F10" t="s">
        <v>88</v>
      </c>
      <c r="G10">
        <v>40</v>
      </c>
      <c r="H10">
        <v>480</v>
      </c>
      <c r="I10" s="45" t="str">
        <f>VLOOKUP(RegionalData[[#This Row],[Company ID]],MCompany[],2,0)</f>
        <v>Meta Creations</v>
      </c>
      <c r="J10" s="45" t="str">
        <f>VLOOKUP(RegionalData[[#This Row],[Customer code]],MCustomer[],2,0)</f>
        <v>Erma</v>
      </c>
      <c r="K10" s="45" t="str">
        <f>VLOOKUP(RegionalData[[#This Row],[Article code]],MArticle[],2,0)</f>
        <v>Men type T simple white</v>
      </c>
      <c r="L10" s="45" t="str">
        <f>VLOOKUP(RegionalData[[#This Row],[Company ID]],MCompany[],3,0)</f>
        <v>USD</v>
      </c>
      <c r="M10" s="45">
        <f>IF(RegionalData[[#This Row],[Currency]]="EUR",ROUND(VLOOKUP(MONTH(RegionalData[[#This Row],[Document Date]]),MExchange[],2,0)*RegionalData[[#This Row],[Sales Local Currency]],0),RegionalData[[#This Row],[Sales Local Currency]])</f>
        <v>480</v>
      </c>
      <c r="Y10" t="s">
        <v>5</v>
      </c>
      <c r="Z10" s="37">
        <v>750</v>
      </c>
      <c r="AA10" s="38">
        <v>150</v>
      </c>
      <c r="AC10" t="s">
        <v>20</v>
      </c>
      <c r="AD10" s="45">
        <v>6</v>
      </c>
      <c r="AE10" s="39">
        <v>3.7499999999999999E-2</v>
      </c>
      <c r="AJ10" s="32" t="s">
        <v>6</v>
      </c>
      <c r="AK10" s="37">
        <v>3720</v>
      </c>
      <c r="AL10" s="37">
        <v>310</v>
      </c>
    </row>
    <row r="11" spans="1:41" x14ac:dyDescent="0.25">
      <c r="A11" t="s">
        <v>29</v>
      </c>
      <c r="B11">
        <v>28112</v>
      </c>
      <c r="C11" s="24">
        <v>43385</v>
      </c>
      <c r="D11">
        <v>8020</v>
      </c>
      <c r="E11">
        <v>102</v>
      </c>
      <c r="G11">
        <v>70</v>
      </c>
      <c r="H11">
        <v>840</v>
      </c>
      <c r="I11" s="45" t="str">
        <f>VLOOKUP(RegionalData[[#This Row],[Company ID]],MCompany[],2,0)</f>
        <v>Meta Creations</v>
      </c>
      <c r="J11" s="45" t="str">
        <f>VLOOKUP(RegionalData[[#This Row],[Customer code]],MCustomer[],2,0)</f>
        <v>Erma</v>
      </c>
      <c r="K11" s="45" t="str">
        <f>VLOOKUP(RegionalData[[#This Row],[Article code]],MArticle[],2,0)</f>
        <v>Men type T simple black</v>
      </c>
      <c r="L11" s="45" t="str">
        <f>VLOOKUP(RegionalData[[#This Row],[Company ID]],MCompany[],3,0)</f>
        <v>USD</v>
      </c>
      <c r="M11" s="45">
        <f>IF(RegionalData[[#This Row],[Currency]]="EUR",ROUND(VLOOKUP(MONTH(RegionalData[[#This Row],[Document Date]]),MExchange[],2,0)*RegionalData[[#This Row],[Sales Local Currency]],0),RegionalData[[#This Row],[Sales Local Currency]])</f>
        <v>840</v>
      </c>
      <c r="Y11" t="s">
        <v>16</v>
      </c>
      <c r="Z11" s="37">
        <v>2500</v>
      </c>
      <c r="AA11" s="38">
        <v>100</v>
      </c>
      <c r="AC11" t="s">
        <v>7</v>
      </c>
      <c r="AD11" s="45"/>
      <c r="AE11" s="39">
        <v>0</v>
      </c>
      <c r="AJ11" s="33" t="s">
        <v>47</v>
      </c>
      <c r="AK11" s="37">
        <v>3240</v>
      </c>
      <c r="AL11" s="37">
        <v>270</v>
      </c>
    </row>
    <row r="12" spans="1:41" x14ac:dyDescent="0.25">
      <c r="A12" t="s">
        <v>29</v>
      </c>
      <c r="B12">
        <v>28112</v>
      </c>
      <c r="C12" s="24">
        <v>43385</v>
      </c>
      <c r="D12">
        <v>8020</v>
      </c>
      <c r="E12">
        <v>106</v>
      </c>
      <c r="G12">
        <v>70</v>
      </c>
      <c r="H12">
        <v>350</v>
      </c>
      <c r="I12" s="45" t="str">
        <f>VLOOKUP(RegionalData[[#This Row],[Company ID]],MCompany[],2,0)</f>
        <v>Meta Creations</v>
      </c>
      <c r="J12" s="45" t="str">
        <f>VLOOKUP(RegionalData[[#This Row],[Customer code]],MCustomer[],2,0)</f>
        <v>Erma</v>
      </c>
      <c r="K12" s="45" t="str">
        <f>VLOOKUP(RegionalData[[#This Row],[Article code]],MArticle[],2,0)</f>
        <v>Men basics</v>
      </c>
      <c r="L12" s="45" t="str">
        <f>VLOOKUP(RegionalData[[#This Row],[Company ID]],MCompany[],3,0)</f>
        <v>USD</v>
      </c>
      <c r="M12" s="45">
        <f>IF(RegionalData[[#This Row],[Currency]]="EUR",ROUND(VLOOKUP(MONTH(RegionalData[[#This Row],[Document Date]]),MExchange[],2,0)*RegionalData[[#This Row],[Sales Local Currency]],0),RegionalData[[#This Row],[Sales Local Currency]])</f>
        <v>350</v>
      </c>
      <c r="Y12" t="s">
        <v>17</v>
      </c>
      <c r="Z12" s="37">
        <v>1250</v>
      </c>
      <c r="AA12" s="38">
        <v>50</v>
      </c>
      <c r="AC12" t="s">
        <v>6</v>
      </c>
      <c r="AD12" s="45">
        <v>1</v>
      </c>
      <c r="AE12" s="39">
        <v>3.2258064516129032E-3</v>
      </c>
      <c r="AJ12" s="33" t="s">
        <v>45</v>
      </c>
      <c r="AK12" s="37">
        <v>480</v>
      </c>
      <c r="AL12" s="37">
        <v>40</v>
      </c>
    </row>
    <row r="13" spans="1:41" x14ac:dyDescent="0.25">
      <c r="A13" t="s">
        <v>29</v>
      </c>
      <c r="B13">
        <v>28112</v>
      </c>
      <c r="C13" s="24">
        <v>43385</v>
      </c>
      <c r="D13">
        <v>8020</v>
      </c>
      <c r="E13">
        <v>108</v>
      </c>
      <c r="G13">
        <v>10</v>
      </c>
      <c r="H13">
        <v>280</v>
      </c>
      <c r="I13" s="45" t="str">
        <f>VLOOKUP(RegionalData[[#This Row],[Company ID]],MCompany[],2,0)</f>
        <v>Meta Creations</v>
      </c>
      <c r="J13" s="45" t="str">
        <f>VLOOKUP(RegionalData[[#This Row],[Customer code]],MCustomer[],2,0)</f>
        <v>Erma</v>
      </c>
      <c r="K13" s="45" t="str">
        <f>VLOOKUP(RegionalData[[#This Row],[Article code]],MArticle[],2,0)</f>
        <v>Laptop bag black</v>
      </c>
      <c r="L13" s="45" t="str">
        <f>VLOOKUP(RegionalData[[#This Row],[Company ID]],MCompany[],3,0)</f>
        <v>USD</v>
      </c>
      <c r="M13" s="45">
        <f>IF(RegionalData[[#This Row],[Currency]]="EUR",ROUND(VLOOKUP(MONTH(RegionalData[[#This Row],[Document Date]]),MExchange[],2,0)*RegionalData[[#This Row],[Sales Local Currency]],0),RegionalData[[#This Row],[Sales Local Currency]])</f>
        <v>280</v>
      </c>
      <c r="Y13" t="s">
        <v>21</v>
      </c>
      <c r="Z13" s="37">
        <v>3780</v>
      </c>
      <c r="AA13" s="38">
        <v>210</v>
      </c>
      <c r="AC13" t="s">
        <v>19</v>
      </c>
      <c r="AD13" s="45">
        <v>1</v>
      </c>
      <c r="AE13" s="39">
        <v>1.6666666666666666E-2</v>
      </c>
      <c r="AJ13" s="32" t="s">
        <v>7</v>
      </c>
      <c r="AK13" s="37">
        <v>1320</v>
      </c>
      <c r="AL13" s="37">
        <v>110</v>
      </c>
    </row>
    <row r="14" spans="1:41" x14ac:dyDescent="0.25">
      <c r="A14" t="s">
        <v>29</v>
      </c>
      <c r="B14">
        <v>28112</v>
      </c>
      <c r="C14" s="24">
        <v>43385</v>
      </c>
      <c r="D14">
        <v>8020</v>
      </c>
      <c r="E14">
        <v>117</v>
      </c>
      <c r="G14">
        <v>80</v>
      </c>
      <c r="H14">
        <v>1440</v>
      </c>
      <c r="I14" s="45" t="str">
        <f>VLOOKUP(RegionalData[[#This Row],[Company ID]],MCompany[],2,0)</f>
        <v>Meta Creations</v>
      </c>
      <c r="J14" s="45" t="str">
        <f>VLOOKUP(RegionalData[[#This Row],[Customer code]],MCustomer[],2,0)</f>
        <v>Erma</v>
      </c>
      <c r="K14" s="45" t="str">
        <f>VLOOKUP(RegionalData[[#This Row],[Article code]],MArticle[],2,0)</f>
        <v>Men shorts grey</v>
      </c>
      <c r="L14" s="45" t="str">
        <f>VLOOKUP(RegionalData[[#This Row],[Company ID]],MCompany[],3,0)</f>
        <v>USD</v>
      </c>
      <c r="M14" s="45">
        <f>IF(RegionalData[[#This Row],[Currency]]="EUR",ROUND(VLOOKUP(MONTH(RegionalData[[#This Row],[Document Date]]),MExchange[],2,0)*RegionalData[[#This Row],[Sales Local Currency]],0),RegionalData[[#This Row],[Sales Local Currency]])</f>
        <v>1440</v>
      </c>
      <c r="Y14" t="s">
        <v>20</v>
      </c>
      <c r="Z14" s="37">
        <v>2880</v>
      </c>
      <c r="AA14" s="38">
        <v>160</v>
      </c>
      <c r="AC14" t="s">
        <v>10</v>
      </c>
      <c r="AD14" s="45">
        <v>2</v>
      </c>
      <c r="AE14" s="39">
        <v>3.1250000000000002E-3</v>
      </c>
      <c r="AJ14" s="33" t="s">
        <v>47</v>
      </c>
      <c r="AK14" s="37">
        <v>1200</v>
      </c>
      <c r="AL14" s="37">
        <v>100</v>
      </c>
    </row>
    <row r="15" spans="1:41" x14ac:dyDescent="0.25">
      <c r="A15" t="s">
        <v>29</v>
      </c>
      <c r="B15">
        <v>28112</v>
      </c>
      <c r="C15" s="24">
        <v>43385</v>
      </c>
      <c r="D15">
        <v>8020</v>
      </c>
      <c r="E15">
        <v>118</v>
      </c>
      <c r="G15">
        <v>70</v>
      </c>
      <c r="H15">
        <v>1260</v>
      </c>
      <c r="I15" s="45" t="str">
        <f>VLOOKUP(RegionalData[[#This Row],[Company ID]],MCompany[],2,0)</f>
        <v>Meta Creations</v>
      </c>
      <c r="J15" s="45" t="str">
        <f>VLOOKUP(RegionalData[[#This Row],[Customer code]],MCustomer[],2,0)</f>
        <v>Erma</v>
      </c>
      <c r="K15" s="45" t="str">
        <f>VLOOKUP(RegionalData[[#This Row],[Article code]],MArticle[],2,0)</f>
        <v>Men shorts black</v>
      </c>
      <c r="L15" s="45" t="str">
        <f>VLOOKUP(RegionalData[[#This Row],[Company ID]],MCompany[],3,0)</f>
        <v>USD</v>
      </c>
      <c r="M15" s="45">
        <f>IF(RegionalData[[#This Row],[Currency]]="EUR",ROUND(VLOOKUP(MONTH(RegionalData[[#This Row],[Document Date]]),MExchange[],2,0)*RegionalData[[#This Row],[Sales Local Currency]],0),RegionalData[[#This Row],[Sales Local Currency]])</f>
        <v>1260</v>
      </c>
      <c r="Y15" t="s">
        <v>7</v>
      </c>
      <c r="Z15" s="37">
        <v>1320</v>
      </c>
      <c r="AA15" s="38">
        <v>110</v>
      </c>
      <c r="AC15" t="s">
        <v>4</v>
      </c>
      <c r="AD15" s="45">
        <v>2</v>
      </c>
      <c r="AE15" s="39">
        <v>1.3986013986013986E-3</v>
      </c>
      <c r="AJ15" s="33" t="s">
        <v>45</v>
      </c>
      <c r="AK15" s="37">
        <v>120</v>
      </c>
      <c r="AL15" s="37">
        <v>10</v>
      </c>
    </row>
    <row r="16" spans="1:41" x14ac:dyDescent="0.25">
      <c r="A16" t="s">
        <v>29</v>
      </c>
      <c r="B16">
        <v>25442</v>
      </c>
      <c r="C16" s="24">
        <v>43389</v>
      </c>
      <c r="D16">
        <v>8010</v>
      </c>
      <c r="E16">
        <v>118</v>
      </c>
      <c r="G16">
        <v>70</v>
      </c>
      <c r="H16">
        <v>1260</v>
      </c>
      <c r="I16" s="45" t="str">
        <f>VLOOKUP(RegionalData[[#This Row],[Company ID]],MCompany[],2,0)</f>
        <v>Meta Creations</v>
      </c>
      <c r="J16" s="45" t="str">
        <f>VLOOKUP(RegionalData[[#This Row],[Customer code]],MCustomer[],2,0)</f>
        <v>Dellicia</v>
      </c>
      <c r="K16" s="45" t="str">
        <f>VLOOKUP(RegionalData[[#This Row],[Article code]],MArticle[],2,0)</f>
        <v>Men shorts black</v>
      </c>
      <c r="L16" s="45" t="str">
        <f>VLOOKUP(RegionalData[[#This Row],[Company ID]],MCompany[],3,0)</f>
        <v>USD</v>
      </c>
      <c r="M16" s="45">
        <f>IF(RegionalData[[#This Row],[Currency]]="EUR",ROUND(VLOOKUP(MONTH(RegionalData[[#This Row],[Document Date]]),MExchange[],2,0)*RegionalData[[#This Row],[Sales Local Currency]],0),RegionalData[[#This Row],[Sales Local Currency]])</f>
        <v>1260</v>
      </c>
      <c r="Y16" t="s">
        <v>6</v>
      </c>
      <c r="Z16" s="37">
        <v>3720</v>
      </c>
      <c r="AA16" s="38">
        <v>310</v>
      </c>
      <c r="AC16" t="s">
        <v>9</v>
      </c>
      <c r="AD16" s="45">
        <v>7</v>
      </c>
      <c r="AE16" s="39">
        <v>3.0042918454935624E-3</v>
      </c>
      <c r="AJ16" s="32" t="s">
        <v>5</v>
      </c>
      <c r="AK16" s="37">
        <v>750</v>
      </c>
      <c r="AL16" s="37">
        <v>150</v>
      </c>
    </row>
    <row r="17" spans="1:38" x14ac:dyDescent="0.25">
      <c r="A17" t="s">
        <v>29</v>
      </c>
      <c r="B17">
        <v>25442</v>
      </c>
      <c r="C17" s="24">
        <v>43389</v>
      </c>
      <c r="D17">
        <v>8010</v>
      </c>
      <c r="E17">
        <v>117</v>
      </c>
      <c r="F17">
        <v>6</v>
      </c>
      <c r="G17">
        <v>80</v>
      </c>
      <c r="H17">
        <v>1440</v>
      </c>
      <c r="I17" s="45" t="str">
        <f>VLOOKUP(RegionalData[[#This Row],[Company ID]],MCompany[],2,0)</f>
        <v>Meta Creations</v>
      </c>
      <c r="J17" s="45" t="str">
        <f>VLOOKUP(RegionalData[[#This Row],[Customer code]],MCustomer[],2,0)</f>
        <v>Dellicia</v>
      </c>
      <c r="K17" s="45" t="str">
        <f>VLOOKUP(RegionalData[[#This Row],[Article code]],MArticle[],2,0)</f>
        <v>Men shorts grey</v>
      </c>
      <c r="L17" s="45" t="str">
        <f>VLOOKUP(RegionalData[[#This Row],[Company ID]],MCompany[],3,0)</f>
        <v>USD</v>
      </c>
      <c r="M17" s="45">
        <f>IF(RegionalData[[#This Row],[Currency]]="EUR",ROUND(VLOOKUP(MONTH(RegionalData[[#This Row],[Document Date]]),MExchange[],2,0)*RegionalData[[#This Row],[Sales Local Currency]],0),RegionalData[[#This Row],[Sales Local Currency]])</f>
        <v>1440</v>
      </c>
      <c r="Y17" t="s">
        <v>19</v>
      </c>
      <c r="Z17" s="37">
        <v>360</v>
      </c>
      <c r="AA17" s="38">
        <v>60</v>
      </c>
      <c r="AC17" t="s">
        <v>8</v>
      </c>
      <c r="AD17" s="45">
        <v>1</v>
      </c>
      <c r="AE17" s="39">
        <v>5.8139534883720929E-4</v>
      </c>
      <c r="AJ17" s="33" t="s">
        <v>47</v>
      </c>
      <c r="AK17" s="37">
        <v>650</v>
      </c>
      <c r="AL17" s="37">
        <v>130</v>
      </c>
    </row>
    <row r="18" spans="1:38" x14ac:dyDescent="0.25">
      <c r="A18" t="s">
        <v>29</v>
      </c>
      <c r="B18">
        <v>25442</v>
      </c>
      <c r="C18" s="24">
        <v>43389</v>
      </c>
      <c r="D18">
        <v>8010</v>
      </c>
      <c r="E18">
        <v>118</v>
      </c>
      <c r="G18">
        <v>70</v>
      </c>
      <c r="H18">
        <v>1260</v>
      </c>
      <c r="I18" s="45" t="str">
        <f>VLOOKUP(RegionalData[[#This Row],[Company ID]],MCompany[],2,0)</f>
        <v>Meta Creations</v>
      </c>
      <c r="J18" s="45" t="str">
        <f>VLOOKUP(RegionalData[[#This Row],[Customer code]],MCustomer[],2,0)</f>
        <v>Dellicia</v>
      </c>
      <c r="K18" s="45" t="str">
        <f>VLOOKUP(RegionalData[[#This Row],[Article code]],MArticle[],2,0)</f>
        <v>Men shorts black</v>
      </c>
      <c r="L18" s="45" t="str">
        <f>VLOOKUP(RegionalData[[#This Row],[Company ID]],MCompany[],3,0)</f>
        <v>USD</v>
      </c>
      <c r="M18" s="45">
        <f>IF(RegionalData[[#This Row],[Currency]]="EUR",ROUND(VLOOKUP(MONTH(RegionalData[[#This Row],[Document Date]]),MExchange[],2,0)*RegionalData[[#This Row],[Sales Local Currency]],0),RegionalData[[#This Row],[Sales Local Currency]])</f>
        <v>1260</v>
      </c>
      <c r="Y18" t="s">
        <v>10</v>
      </c>
      <c r="Z18" s="37">
        <v>3200</v>
      </c>
      <c r="AA18" s="38">
        <v>640</v>
      </c>
      <c r="AC18" t="s">
        <v>96</v>
      </c>
      <c r="AD18" s="45">
        <v>21</v>
      </c>
      <c r="AE18" s="39">
        <v>2.8455284552845531E-3</v>
      </c>
      <c r="AJ18" s="33" t="s">
        <v>45</v>
      </c>
      <c r="AK18" s="37">
        <v>100</v>
      </c>
      <c r="AL18" s="37">
        <v>20</v>
      </c>
    </row>
    <row r="19" spans="1:38" x14ac:dyDescent="0.25">
      <c r="A19" t="s">
        <v>29</v>
      </c>
      <c r="B19">
        <v>25442</v>
      </c>
      <c r="C19" s="24">
        <v>43389</v>
      </c>
      <c r="D19">
        <v>8010</v>
      </c>
      <c r="E19">
        <v>116</v>
      </c>
      <c r="F19">
        <v>1</v>
      </c>
      <c r="G19">
        <v>60</v>
      </c>
      <c r="H19">
        <v>360</v>
      </c>
      <c r="I19" s="45" t="str">
        <f>VLOOKUP(RegionalData[[#This Row],[Company ID]],MCompany[],2,0)</f>
        <v>Meta Creations</v>
      </c>
      <c r="J19" s="45" t="str">
        <f>VLOOKUP(RegionalData[[#This Row],[Customer code]],MCustomer[],2,0)</f>
        <v>Dellicia</v>
      </c>
      <c r="K19" s="45" t="str">
        <f>VLOOKUP(RegionalData[[#This Row],[Article code]],MArticle[],2,0)</f>
        <v>Unisex tank top white</v>
      </c>
      <c r="L19" s="45" t="str">
        <f>VLOOKUP(RegionalData[[#This Row],[Company ID]],MCompany[],3,0)</f>
        <v>USD</v>
      </c>
      <c r="M19" s="45">
        <f>IF(RegionalData[[#This Row],[Currency]]="EUR",ROUND(VLOOKUP(MONTH(RegionalData[[#This Row],[Document Date]]),MExchange[],2,0)*RegionalData[[#This Row],[Sales Local Currency]],0),RegionalData[[#This Row],[Sales Local Currency]])</f>
        <v>360</v>
      </c>
      <c r="Y19" t="s">
        <v>4</v>
      </c>
      <c r="Z19" s="37">
        <v>14300</v>
      </c>
      <c r="AA19" s="38">
        <v>1430</v>
      </c>
      <c r="AJ19" s="32" t="s">
        <v>16</v>
      </c>
      <c r="AK19" s="37">
        <v>2500</v>
      </c>
      <c r="AL19" s="37">
        <v>100</v>
      </c>
    </row>
    <row r="20" spans="1:38" x14ac:dyDescent="0.25">
      <c r="A20" t="s">
        <v>29</v>
      </c>
      <c r="B20">
        <v>25442</v>
      </c>
      <c r="C20" s="24">
        <v>43389</v>
      </c>
      <c r="D20">
        <v>8010</v>
      </c>
      <c r="E20">
        <v>106</v>
      </c>
      <c r="G20">
        <v>20</v>
      </c>
      <c r="H20">
        <v>100</v>
      </c>
      <c r="I20" s="45" t="str">
        <f>VLOOKUP(RegionalData[[#This Row],[Company ID]],MCompany[],2,0)</f>
        <v>Meta Creations</v>
      </c>
      <c r="J20" s="45" t="str">
        <f>VLOOKUP(RegionalData[[#This Row],[Customer code]],MCustomer[],2,0)</f>
        <v>Dellicia</v>
      </c>
      <c r="K20" s="45" t="str">
        <f>VLOOKUP(RegionalData[[#This Row],[Article code]],MArticle[],2,0)</f>
        <v>Men basics</v>
      </c>
      <c r="L20" s="45" t="str">
        <f>VLOOKUP(RegionalData[[#This Row],[Company ID]],MCompany[],3,0)</f>
        <v>USD</v>
      </c>
      <c r="M20" s="45">
        <f>IF(RegionalData[[#This Row],[Currency]]="EUR",ROUND(VLOOKUP(MONTH(RegionalData[[#This Row],[Document Date]]),MExchange[],2,0)*RegionalData[[#This Row],[Sales Local Currency]],0),RegionalData[[#This Row],[Sales Local Currency]])</f>
        <v>100</v>
      </c>
      <c r="Y20" t="s">
        <v>9</v>
      </c>
      <c r="Z20" s="37">
        <v>27960</v>
      </c>
      <c r="AA20" s="38">
        <v>2330</v>
      </c>
      <c r="AJ20" s="33" t="s">
        <v>47</v>
      </c>
      <c r="AK20" s="37">
        <v>2500</v>
      </c>
      <c r="AL20" s="37">
        <v>100</v>
      </c>
    </row>
    <row r="21" spans="1:38" x14ac:dyDescent="0.25">
      <c r="A21" t="s">
        <v>29</v>
      </c>
      <c r="B21">
        <v>25442</v>
      </c>
      <c r="C21" s="24">
        <v>43389</v>
      </c>
      <c r="D21">
        <v>8010</v>
      </c>
      <c r="E21">
        <v>101</v>
      </c>
      <c r="G21">
        <v>40</v>
      </c>
      <c r="H21">
        <v>480</v>
      </c>
      <c r="I21" s="45" t="str">
        <f>VLOOKUP(RegionalData[[#This Row],[Company ID]],MCompany[],2,0)</f>
        <v>Meta Creations</v>
      </c>
      <c r="J21" s="45" t="str">
        <f>VLOOKUP(RegionalData[[#This Row],[Customer code]],MCustomer[],2,0)</f>
        <v>Dellicia</v>
      </c>
      <c r="K21" s="45" t="str">
        <f>VLOOKUP(RegionalData[[#This Row],[Article code]],MArticle[],2,0)</f>
        <v>Men type T simple white</v>
      </c>
      <c r="L21" s="45" t="str">
        <f>VLOOKUP(RegionalData[[#This Row],[Company ID]],MCompany[],3,0)</f>
        <v>USD</v>
      </c>
      <c r="M21" s="45">
        <f>IF(RegionalData[[#This Row],[Currency]]="EUR",ROUND(VLOOKUP(MONTH(RegionalData[[#This Row],[Document Date]]),MExchange[],2,0)*RegionalData[[#This Row],[Sales Local Currency]],0),RegionalData[[#This Row],[Sales Local Currency]])</f>
        <v>480</v>
      </c>
      <c r="Y21" t="s">
        <v>8</v>
      </c>
      <c r="Z21" s="37">
        <v>20640</v>
      </c>
      <c r="AA21" s="38">
        <v>1720</v>
      </c>
      <c r="AJ21" s="32" t="s">
        <v>17</v>
      </c>
      <c r="AK21" s="37">
        <v>1250</v>
      </c>
      <c r="AL21" s="37">
        <v>50</v>
      </c>
    </row>
    <row r="22" spans="1:38" x14ac:dyDescent="0.25">
      <c r="A22" t="s">
        <v>29</v>
      </c>
      <c r="B22">
        <v>25442</v>
      </c>
      <c r="C22" s="24">
        <v>43389</v>
      </c>
      <c r="D22">
        <v>8010</v>
      </c>
      <c r="E22">
        <v>102</v>
      </c>
      <c r="G22">
        <v>10</v>
      </c>
      <c r="H22">
        <v>120</v>
      </c>
      <c r="I22" s="45" t="str">
        <f>VLOOKUP(RegionalData[[#This Row],[Company ID]],MCompany[],2,0)</f>
        <v>Meta Creations</v>
      </c>
      <c r="J22" s="45" t="str">
        <f>VLOOKUP(RegionalData[[#This Row],[Customer code]],MCustomer[],2,0)</f>
        <v>Dellicia</v>
      </c>
      <c r="K22" s="45" t="str">
        <f>VLOOKUP(RegionalData[[#This Row],[Article code]],MArticle[],2,0)</f>
        <v>Men type T simple black</v>
      </c>
      <c r="L22" s="45" t="str">
        <f>VLOOKUP(RegionalData[[#This Row],[Company ID]],MCompany[],3,0)</f>
        <v>USD</v>
      </c>
      <c r="M22" s="45">
        <f>IF(RegionalData[[#This Row],[Currency]]="EUR",ROUND(VLOOKUP(MONTH(RegionalData[[#This Row],[Document Date]]),MExchange[],2,0)*RegionalData[[#This Row],[Sales Local Currency]],0),RegionalData[[#This Row],[Sales Local Currency]])</f>
        <v>120</v>
      </c>
      <c r="Y22" t="s">
        <v>96</v>
      </c>
      <c r="Z22" s="37">
        <v>85740</v>
      </c>
      <c r="AA22" s="38">
        <v>7380</v>
      </c>
      <c r="AJ22" s="33" t="s">
        <v>47</v>
      </c>
      <c r="AK22" s="37">
        <v>1250</v>
      </c>
      <c r="AL22" s="37">
        <v>50</v>
      </c>
    </row>
    <row r="23" spans="1:38" x14ac:dyDescent="0.25">
      <c r="A23" t="s">
        <v>28</v>
      </c>
      <c r="B23">
        <v>66030</v>
      </c>
      <c r="C23" s="24">
        <v>43377</v>
      </c>
      <c r="D23">
        <v>8010</v>
      </c>
      <c r="E23">
        <v>103</v>
      </c>
      <c r="F23" t="s">
        <v>88</v>
      </c>
      <c r="G23">
        <v>120</v>
      </c>
      <c r="H23">
        <v>1440</v>
      </c>
      <c r="I23" s="45" t="str">
        <f>VLOOKUP(RegionalData[[#This Row],[Company ID]],MCompany[],2,0)</f>
        <v>Urban Right</v>
      </c>
      <c r="J23" s="45" t="str">
        <f>VLOOKUP(RegionalData[[#This Row],[Customer code]],MCustomer[],2,0)</f>
        <v>Dellicia</v>
      </c>
      <c r="K23" s="45" t="str">
        <f>VLOOKUP(RegionalData[[#This Row],[Article code]],MArticle[],2,0)</f>
        <v>Women type T simple white</v>
      </c>
      <c r="L23" s="45" t="str">
        <f>VLOOKUP(RegionalData[[#This Row],[Company ID]],MCompany[],3,0)</f>
        <v>USD</v>
      </c>
      <c r="M23" s="45">
        <f>IF(RegionalData[[#This Row],[Currency]]="EUR",ROUND(VLOOKUP(MONTH(RegionalData[[#This Row],[Document Date]]),MExchange[],2,0)*RegionalData[[#This Row],[Sales Local Currency]],0),RegionalData[[#This Row],[Sales Local Currency]])</f>
        <v>1440</v>
      </c>
      <c r="AJ23" s="32" t="s">
        <v>20</v>
      </c>
      <c r="AK23" s="37">
        <v>2880</v>
      </c>
      <c r="AL23" s="37">
        <v>160</v>
      </c>
    </row>
    <row r="24" spans="1:38" x14ac:dyDescent="0.25">
      <c r="A24" t="s">
        <v>28</v>
      </c>
      <c r="B24">
        <v>66030</v>
      </c>
      <c r="C24" s="24">
        <v>43377</v>
      </c>
      <c r="D24">
        <v>8010</v>
      </c>
      <c r="E24">
        <v>104</v>
      </c>
      <c r="G24">
        <v>150</v>
      </c>
      <c r="H24">
        <v>1800</v>
      </c>
      <c r="I24" s="45" t="str">
        <f>VLOOKUP(RegionalData[[#This Row],[Company ID]],MCompany[],2,0)</f>
        <v>Urban Right</v>
      </c>
      <c r="J24" s="45" t="str">
        <f>VLOOKUP(RegionalData[[#This Row],[Customer code]],MCustomer[],2,0)</f>
        <v>Dellicia</v>
      </c>
      <c r="K24" s="45" t="str">
        <f>VLOOKUP(RegionalData[[#This Row],[Article code]],MArticle[],2,0)</f>
        <v>Women type T simple black</v>
      </c>
      <c r="L24" s="45" t="str">
        <f>VLOOKUP(RegionalData[[#This Row],[Company ID]],MCompany[],3,0)</f>
        <v>USD</v>
      </c>
      <c r="M24" s="45">
        <f>IF(RegionalData[[#This Row],[Currency]]="EUR",ROUND(VLOOKUP(MONTH(RegionalData[[#This Row],[Document Date]]),MExchange[],2,0)*RegionalData[[#This Row],[Sales Local Currency]],0),RegionalData[[#This Row],[Sales Local Currency]])</f>
        <v>1800</v>
      </c>
      <c r="AJ24" s="33" t="s">
        <v>47</v>
      </c>
      <c r="AK24" s="37">
        <v>1440</v>
      </c>
      <c r="AL24" s="37">
        <v>80</v>
      </c>
    </row>
    <row r="25" spans="1:38" x14ac:dyDescent="0.25">
      <c r="A25" t="s">
        <v>28</v>
      </c>
      <c r="B25">
        <v>66032</v>
      </c>
      <c r="C25" s="24">
        <v>43380</v>
      </c>
      <c r="D25">
        <v>8010</v>
      </c>
      <c r="E25">
        <v>103</v>
      </c>
      <c r="G25">
        <v>170</v>
      </c>
      <c r="H25">
        <v>2040</v>
      </c>
      <c r="I25" s="45" t="str">
        <f>VLOOKUP(RegionalData[[#This Row],[Company ID]],MCompany[],2,0)</f>
        <v>Urban Right</v>
      </c>
      <c r="J25" s="45" t="str">
        <f>VLOOKUP(RegionalData[[#This Row],[Customer code]],MCustomer[],2,0)</f>
        <v>Dellicia</v>
      </c>
      <c r="K25" s="45" t="str">
        <f>VLOOKUP(RegionalData[[#This Row],[Article code]],MArticle[],2,0)</f>
        <v>Women type T simple white</v>
      </c>
      <c r="L25" s="45" t="str">
        <f>VLOOKUP(RegionalData[[#This Row],[Company ID]],MCompany[],3,0)</f>
        <v>USD</v>
      </c>
      <c r="M25" s="45">
        <f>IF(RegionalData[[#This Row],[Currency]]="EUR",ROUND(VLOOKUP(MONTH(RegionalData[[#This Row],[Document Date]]),MExchange[],2,0)*RegionalData[[#This Row],[Sales Local Currency]],0),RegionalData[[#This Row],[Sales Local Currency]])</f>
        <v>2040</v>
      </c>
      <c r="AJ25" s="33" t="s">
        <v>45</v>
      </c>
      <c r="AK25" s="37">
        <v>1440</v>
      </c>
      <c r="AL25" s="37">
        <v>80</v>
      </c>
    </row>
    <row r="26" spans="1:38" x14ac:dyDescent="0.25">
      <c r="A26" t="s">
        <v>28</v>
      </c>
      <c r="B26">
        <v>66032</v>
      </c>
      <c r="C26" s="24">
        <v>43380</v>
      </c>
      <c r="D26">
        <v>8010</v>
      </c>
      <c r="E26">
        <v>104</v>
      </c>
      <c r="G26">
        <v>140</v>
      </c>
      <c r="H26">
        <v>1680</v>
      </c>
      <c r="I26" s="45" t="str">
        <f>VLOOKUP(RegionalData[[#This Row],[Company ID]],MCompany[],2,0)</f>
        <v>Urban Right</v>
      </c>
      <c r="J26" s="45" t="str">
        <f>VLOOKUP(RegionalData[[#This Row],[Customer code]],MCustomer[],2,0)</f>
        <v>Dellicia</v>
      </c>
      <c r="K26" s="45" t="str">
        <f>VLOOKUP(RegionalData[[#This Row],[Article code]],MArticle[],2,0)</f>
        <v>Women type T simple black</v>
      </c>
      <c r="L26" s="45" t="str">
        <f>VLOOKUP(RegionalData[[#This Row],[Company ID]],MCompany[],3,0)</f>
        <v>USD</v>
      </c>
      <c r="M26" s="45">
        <f>IF(RegionalData[[#This Row],[Currency]]="EUR",ROUND(VLOOKUP(MONTH(RegionalData[[#This Row],[Document Date]]),MExchange[],2,0)*RegionalData[[#This Row],[Sales Local Currency]],0),RegionalData[[#This Row],[Sales Local Currency]])</f>
        <v>1680</v>
      </c>
      <c r="AJ26" s="32" t="s">
        <v>21</v>
      </c>
      <c r="AK26" s="37">
        <v>3780</v>
      </c>
      <c r="AL26" s="37">
        <v>210</v>
      </c>
    </row>
    <row r="27" spans="1:38" x14ac:dyDescent="0.25">
      <c r="A27" t="s">
        <v>28</v>
      </c>
      <c r="B27">
        <v>66031</v>
      </c>
      <c r="C27" s="24">
        <v>43381</v>
      </c>
      <c r="D27">
        <v>8020</v>
      </c>
      <c r="E27">
        <v>103</v>
      </c>
      <c r="F27">
        <v>1</v>
      </c>
      <c r="G27">
        <v>140</v>
      </c>
      <c r="H27">
        <v>1680</v>
      </c>
      <c r="I27" s="45" t="str">
        <f>VLOOKUP(RegionalData[[#This Row],[Company ID]],MCompany[],2,0)</f>
        <v>Urban Right</v>
      </c>
      <c r="J27" s="45" t="str">
        <f>VLOOKUP(RegionalData[[#This Row],[Customer code]],MCustomer[],2,0)</f>
        <v>Erma</v>
      </c>
      <c r="K27" s="45" t="str">
        <f>VLOOKUP(RegionalData[[#This Row],[Article code]],MArticle[],2,0)</f>
        <v>Women type T simple white</v>
      </c>
      <c r="L27" s="45" t="str">
        <f>VLOOKUP(RegionalData[[#This Row],[Company ID]],MCompany[],3,0)</f>
        <v>USD</v>
      </c>
      <c r="M27" s="45">
        <f>IF(RegionalData[[#This Row],[Currency]]="EUR",ROUND(VLOOKUP(MONTH(RegionalData[[#This Row],[Document Date]]),MExchange[],2,0)*RegionalData[[#This Row],[Sales Local Currency]],0),RegionalData[[#This Row],[Sales Local Currency]])</f>
        <v>1680</v>
      </c>
      <c r="AJ27" s="33" t="s">
        <v>47</v>
      </c>
      <c r="AK27" s="37">
        <v>1260</v>
      </c>
      <c r="AL27" s="37">
        <v>70</v>
      </c>
    </row>
    <row r="28" spans="1:38" x14ac:dyDescent="0.25">
      <c r="A28" t="s">
        <v>28</v>
      </c>
      <c r="B28">
        <v>66031</v>
      </c>
      <c r="C28" s="24">
        <v>43381</v>
      </c>
      <c r="D28">
        <v>8020</v>
      </c>
      <c r="E28">
        <v>104</v>
      </c>
      <c r="G28">
        <v>150</v>
      </c>
      <c r="H28">
        <v>1800</v>
      </c>
      <c r="I28" s="45" t="str">
        <f>VLOOKUP(RegionalData[[#This Row],[Company ID]],MCompany[],2,0)</f>
        <v>Urban Right</v>
      </c>
      <c r="J28" s="45" t="str">
        <f>VLOOKUP(RegionalData[[#This Row],[Customer code]],MCustomer[],2,0)</f>
        <v>Erma</v>
      </c>
      <c r="K28" s="45" t="str">
        <f>VLOOKUP(RegionalData[[#This Row],[Article code]],MArticle[],2,0)</f>
        <v>Women type T simple black</v>
      </c>
      <c r="L28" s="45" t="str">
        <f>VLOOKUP(RegionalData[[#This Row],[Company ID]],MCompany[],3,0)</f>
        <v>USD</v>
      </c>
      <c r="M28" s="45">
        <f>IF(RegionalData[[#This Row],[Currency]]="EUR",ROUND(VLOOKUP(MONTH(RegionalData[[#This Row],[Document Date]]),MExchange[],2,0)*RegionalData[[#This Row],[Sales Local Currency]],0),RegionalData[[#This Row],[Sales Local Currency]])</f>
        <v>1800</v>
      </c>
      <c r="AJ28" s="33" t="s">
        <v>45</v>
      </c>
      <c r="AK28" s="37">
        <v>2520</v>
      </c>
      <c r="AL28" s="37">
        <v>140</v>
      </c>
    </row>
    <row r="29" spans="1:38" x14ac:dyDescent="0.25">
      <c r="A29" t="s">
        <v>28</v>
      </c>
      <c r="B29">
        <v>66031</v>
      </c>
      <c r="C29" s="24">
        <v>43381</v>
      </c>
      <c r="D29">
        <v>8020</v>
      </c>
      <c r="E29">
        <v>105</v>
      </c>
      <c r="G29">
        <v>100</v>
      </c>
      <c r="H29">
        <v>1000</v>
      </c>
      <c r="I29" s="45" t="str">
        <f>VLOOKUP(RegionalData[[#This Row],[Company ID]],MCompany[],2,0)</f>
        <v>Urban Right</v>
      </c>
      <c r="J29" s="45" t="str">
        <f>VLOOKUP(RegionalData[[#This Row],[Customer code]],MCustomer[],2,0)</f>
        <v>Erma</v>
      </c>
      <c r="K29" s="45" t="str">
        <f>VLOOKUP(RegionalData[[#This Row],[Article code]],MArticle[],2,0)</f>
        <v>Women crop top black</v>
      </c>
      <c r="L29" s="45" t="str">
        <f>VLOOKUP(RegionalData[[#This Row],[Company ID]],MCompany[],3,0)</f>
        <v>USD</v>
      </c>
      <c r="M29" s="45">
        <f>IF(RegionalData[[#This Row],[Currency]]="EUR",ROUND(VLOOKUP(MONTH(RegionalData[[#This Row],[Document Date]]),MExchange[],2,0)*RegionalData[[#This Row],[Sales Local Currency]],0),RegionalData[[#This Row],[Sales Local Currency]])</f>
        <v>1000</v>
      </c>
      <c r="AJ29" s="31" t="s">
        <v>119</v>
      </c>
      <c r="AK29" s="37">
        <v>19640</v>
      </c>
      <c r="AL29" s="37">
        <v>1260</v>
      </c>
    </row>
    <row r="30" spans="1:38" x14ac:dyDescent="0.25">
      <c r="A30" t="s">
        <v>28</v>
      </c>
      <c r="B30">
        <v>68112</v>
      </c>
      <c r="C30" s="24">
        <v>43384</v>
      </c>
      <c r="D30">
        <v>8010</v>
      </c>
      <c r="E30">
        <v>104</v>
      </c>
      <c r="F30">
        <v>4</v>
      </c>
      <c r="G30">
        <v>180</v>
      </c>
      <c r="H30">
        <v>2160</v>
      </c>
      <c r="I30" s="45" t="str">
        <f>VLOOKUP(RegionalData[[#This Row],[Company ID]],MCompany[],2,0)</f>
        <v>Urban Right</v>
      </c>
      <c r="J30" s="45" t="str">
        <f>VLOOKUP(RegionalData[[#This Row],[Customer code]],MCustomer[],2,0)</f>
        <v>Dellicia</v>
      </c>
      <c r="K30" s="45" t="str">
        <f>VLOOKUP(RegionalData[[#This Row],[Article code]],MArticle[],2,0)</f>
        <v>Women type T simple black</v>
      </c>
      <c r="L30" s="45" t="str">
        <f>VLOOKUP(RegionalData[[#This Row],[Company ID]],MCompany[],3,0)</f>
        <v>USD</v>
      </c>
      <c r="M30" s="45">
        <f>IF(RegionalData[[#This Row],[Currency]]="EUR",ROUND(VLOOKUP(MONTH(RegionalData[[#This Row],[Document Date]]),MExchange[],2,0)*RegionalData[[#This Row],[Sales Local Currency]],0),RegionalData[[#This Row],[Sales Local Currency]])</f>
        <v>2160</v>
      </c>
      <c r="AJ30" s="31" t="s">
        <v>32</v>
      </c>
      <c r="AK30" s="37"/>
      <c r="AL30" s="37"/>
    </row>
    <row r="31" spans="1:38" x14ac:dyDescent="0.25">
      <c r="A31" t="s">
        <v>28</v>
      </c>
      <c r="B31">
        <v>68112</v>
      </c>
      <c r="C31" s="24">
        <v>43384</v>
      </c>
      <c r="D31">
        <v>8010</v>
      </c>
      <c r="E31">
        <v>105</v>
      </c>
      <c r="G31">
        <v>120</v>
      </c>
      <c r="H31">
        <v>1200</v>
      </c>
      <c r="I31" s="45" t="str">
        <f>VLOOKUP(RegionalData[[#This Row],[Company ID]],MCompany[],2,0)</f>
        <v>Urban Right</v>
      </c>
      <c r="J31" s="45" t="str">
        <f>VLOOKUP(RegionalData[[#This Row],[Customer code]],MCustomer[],2,0)</f>
        <v>Dellicia</v>
      </c>
      <c r="K31" s="45" t="str">
        <f>VLOOKUP(RegionalData[[#This Row],[Article code]],MArticle[],2,0)</f>
        <v>Women crop top black</v>
      </c>
      <c r="L31" s="45" t="str">
        <f>VLOOKUP(RegionalData[[#This Row],[Company ID]],MCompany[],3,0)</f>
        <v>USD</v>
      </c>
      <c r="M31" s="45">
        <f>IF(RegionalData[[#This Row],[Currency]]="EUR",ROUND(VLOOKUP(MONTH(RegionalData[[#This Row],[Document Date]]),MExchange[],2,0)*RegionalData[[#This Row],[Sales Local Currency]],0),RegionalData[[#This Row],[Sales Local Currency]])</f>
        <v>1200</v>
      </c>
      <c r="AJ31" s="32" t="s">
        <v>10</v>
      </c>
      <c r="AK31" s="37">
        <v>3200</v>
      </c>
      <c r="AL31" s="37">
        <v>640</v>
      </c>
    </row>
    <row r="32" spans="1:38" x14ac:dyDescent="0.25">
      <c r="A32" t="s">
        <v>28</v>
      </c>
      <c r="B32">
        <v>68116</v>
      </c>
      <c r="C32" s="24">
        <v>43384</v>
      </c>
      <c r="D32">
        <v>8020</v>
      </c>
      <c r="E32">
        <v>104</v>
      </c>
      <c r="G32">
        <v>150</v>
      </c>
      <c r="H32">
        <v>1800</v>
      </c>
      <c r="I32" s="45" t="str">
        <f>VLOOKUP(RegionalData[[#This Row],[Company ID]],MCompany[],2,0)</f>
        <v>Urban Right</v>
      </c>
      <c r="J32" s="45" t="str">
        <f>VLOOKUP(RegionalData[[#This Row],[Customer code]],MCustomer[],2,0)</f>
        <v>Erma</v>
      </c>
      <c r="K32" s="45" t="str">
        <f>VLOOKUP(RegionalData[[#This Row],[Article code]],MArticle[],2,0)</f>
        <v>Women type T simple black</v>
      </c>
      <c r="L32" s="45" t="str">
        <f>VLOOKUP(RegionalData[[#This Row],[Company ID]],MCompany[],3,0)</f>
        <v>USD</v>
      </c>
      <c r="M32" s="45">
        <f>IF(RegionalData[[#This Row],[Currency]]="EUR",ROUND(VLOOKUP(MONTH(RegionalData[[#This Row],[Document Date]]),MExchange[],2,0)*RegionalData[[#This Row],[Sales Local Currency]],0),RegionalData[[#This Row],[Sales Local Currency]])</f>
        <v>1800</v>
      </c>
      <c r="AJ32" s="33" t="s">
        <v>47</v>
      </c>
      <c r="AK32" s="37">
        <v>3200</v>
      </c>
      <c r="AL32" s="37">
        <v>640</v>
      </c>
    </row>
    <row r="33" spans="1:38" x14ac:dyDescent="0.25">
      <c r="A33" t="s">
        <v>28</v>
      </c>
      <c r="B33">
        <v>68116</v>
      </c>
      <c r="C33" s="24">
        <v>43384</v>
      </c>
      <c r="D33">
        <v>8020</v>
      </c>
      <c r="E33">
        <v>105</v>
      </c>
      <c r="G33">
        <v>190</v>
      </c>
      <c r="H33">
        <v>1900</v>
      </c>
      <c r="I33" s="45" t="str">
        <f>VLOOKUP(RegionalData[[#This Row],[Company ID]],MCompany[],2,0)</f>
        <v>Urban Right</v>
      </c>
      <c r="J33" s="45" t="str">
        <f>VLOOKUP(RegionalData[[#This Row],[Customer code]],MCustomer[],2,0)</f>
        <v>Erma</v>
      </c>
      <c r="K33" s="45" t="str">
        <f>VLOOKUP(RegionalData[[#This Row],[Article code]],MArticle[],2,0)</f>
        <v>Women crop top black</v>
      </c>
      <c r="L33" s="45" t="str">
        <f>VLOOKUP(RegionalData[[#This Row],[Company ID]],MCompany[],3,0)</f>
        <v>USD</v>
      </c>
      <c r="M33" s="45">
        <f>IF(RegionalData[[#This Row],[Currency]]="EUR",ROUND(VLOOKUP(MONTH(RegionalData[[#This Row],[Document Date]]),MExchange[],2,0)*RegionalData[[#This Row],[Sales Local Currency]],0),RegionalData[[#This Row],[Sales Local Currency]])</f>
        <v>1900</v>
      </c>
      <c r="AJ33" s="32" t="s">
        <v>4</v>
      </c>
      <c r="AK33" s="37">
        <v>14300</v>
      </c>
      <c r="AL33" s="37">
        <v>1430</v>
      </c>
    </row>
    <row r="34" spans="1:38" x14ac:dyDescent="0.25">
      <c r="A34" t="s">
        <v>28</v>
      </c>
      <c r="B34">
        <v>68116</v>
      </c>
      <c r="C34" s="24">
        <v>43384</v>
      </c>
      <c r="D34">
        <v>8020</v>
      </c>
      <c r="E34">
        <v>107</v>
      </c>
      <c r="F34">
        <v>2</v>
      </c>
      <c r="G34">
        <v>160</v>
      </c>
      <c r="H34">
        <v>800</v>
      </c>
      <c r="I34" s="45" t="str">
        <f>VLOOKUP(RegionalData[[#This Row],[Company ID]],MCompany[],2,0)</f>
        <v>Urban Right</v>
      </c>
      <c r="J34" s="45" t="str">
        <f>VLOOKUP(RegionalData[[#This Row],[Customer code]],MCustomer[],2,0)</f>
        <v>Erma</v>
      </c>
      <c r="K34" s="45" t="str">
        <f>VLOOKUP(RegionalData[[#This Row],[Article code]],MArticle[],2,0)</f>
        <v>Women basics</v>
      </c>
      <c r="L34" s="45" t="str">
        <f>VLOOKUP(RegionalData[[#This Row],[Company ID]],MCompany[],3,0)</f>
        <v>USD</v>
      </c>
      <c r="M34" s="45">
        <f>IF(RegionalData[[#This Row],[Currency]]="EUR",ROUND(VLOOKUP(MONTH(RegionalData[[#This Row],[Document Date]]),MExchange[],2,0)*RegionalData[[#This Row],[Sales Local Currency]],0),RegionalData[[#This Row],[Sales Local Currency]])</f>
        <v>800</v>
      </c>
      <c r="AJ34" s="33" t="s">
        <v>47</v>
      </c>
      <c r="AK34" s="37">
        <v>5500</v>
      </c>
      <c r="AL34" s="37">
        <v>550</v>
      </c>
    </row>
    <row r="35" spans="1:38" x14ac:dyDescent="0.25">
      <c r="A35" t="s">
        <v>28</v>
      </c>
      <c r="B35">
        <v>68116</v>
      </c>
      <c r="C35" s="24">
        <v>43384</v>
      </c>
      <c r="D35">
        <v>8010</v>
      </c>
      <c r="E35">
        <v>104</v>
      </c>
      <c r="G35">
        <v>160</v>
      </c>
      <c r="H35">
        <v>1920</v>
      </c>
      <c r="I35" s="45" t="str">
        <f>VLOOKUP(RegionalData[[#This Row],[Company ID]],MCompany[],2,0)</f>
        <v>Urban Right</v>
      </c>
      <c r="J35" s="45" t="str">
        <f>VLOOKUP(RegionalData[[#This Row],[Customer code]],MCustomer[],2,0)</f>
        <v>Dellicia</v>
      </c>
      <c r="K35" s="45" t="str">
        <f>VLOOKUP(RegionalData[[#This Row],[Article code]],MArticle[],2,0)</f>
        <v>Women type T simple black</v>
      </c>
      <c r="L35" s="45" t="str">
        <f>VLOOKUP(RegionalData[[#This Row],[Company ID]],MCompany[],3,0)</f>
        <v>USD</v>
      </c>
      <c r="M35" s="45">
        <f>IF(RegionalData[[#This Row],[Currency]]="EUR",ROUND(VLOOKUP(MONTH(RegionalData[[#This Row],[Document Date]]),MExchange[],2,0)*RegionalData[[#This Row],[Sales Local Currency]],0),RegionalData[[#This Row],[Sales Local Currency]])</f>
        <v>1920</v>
      </c>
      <c r="AJ35" s="33" t="s">
        <v>45</v>
      </c>
      <c r="AK35" s="37">
        <v>8800</v>
      </c>
      <c r="AL35" s="37">
        <v>880</v>
      </c>
    </row>
    <row r="36" spans="1:38" x14ac:dyDescent="0.25">
      <c r="A36" t="s">
        <v>28</v>
      </c>
      <c r="B36">
        <v>68116</v>
      </c>
      <c r="C36" s="24">
        <v>43384</v>
      </c>
      <c r="D36">
        <v>8010</v>
      </c>
      <c r="E36">
        <v>105</v>
      </c>
      <c r="G36">
        <v>190</v>
      </c>
      <c r="H36">
        <v>1900</v>
      </c>
      <c r="I36" s="45" t="str">
        <f>VLOOKUP(RegionalData[[#This Row],[Company ID]],MCompany[],2,0)</f>
        <v>Urban Right</v>
      </c>
      <c r="J36" s="45" t="str">
        <f>VLOOKUP(RegionalData[[#This Row],[Customer code]],MCustomer[],2,0)</f>
        <v>Dellicia</v>
      </c>
      <c r="K36" s="45" t="str">
        <f>VLOOKUP(RegionalData[[#This Row],[Article code]],MArticle[],2,0)</f>
        <v>Women crop top black</v>
      </c>
      <c r="L36" s="45" t="str">
        <f>VLOOKUP(RegionalData[[#This Row],[Company ID]],MCompany[],3,0)</f>
        <v>USD</v>
      </c>
      <c r="M36" s="45">
        <f>IF(RegionalData[[#This Row],[Currency]]="EUR",ROUND(VLOOKUP(MONTH(RegionalData[[#This Row],[Document Date]]),MExchange[],2,0)*RegionalData[[#This Row],[Sales Local Currency]],0),RegionalData[[#This Row],[Sales Local Currency]])</f>
        <v>1900</v>
      </c>
      <c r="AJ36" s="32" t="s">
        <v>9</v>
      </c>
      <c r="AK36" s="37">
        <v>27960</v>
      </c>
      <c r="AL36" s="37">
        <v>2330</v>
      </c>
    </row>
    <row r="37" spans="1:38" x14ac:dyDescent="0.25">
      <c r="A37" t="s">
        <v>28</v>
      </c>
      <c r="B37">
        <v>65662</v>
      </c>
      <c r="C37" s="24">
        <v>43388</v>
      </c>
      <c r="D37">
        <v>8020</v>
      </c>
      <c r="E37">
        <v>103</v>
      </c>
      <c r="G37">
        <v>120</v>
      </c>
      <c r="H37">
        <v>1440</v>
      </c>
      <c r="I37" s="45" t="str">
        <f>VLOOKUP(RegionalData[[#This Row],[Company ID]],MCompany[],2,0)</f>
        <v>Urban Right</v>
      </c>
      <c r="J37" s="45" t="str">
        <f>VLOOKUP(RegionalData[[#This Row],[Customer code]],MCustomer[],2,0)</f>
        <v>Erma</v>
      </c>
      <c r="K37" s="45" t="str">
        <f>VLOOKUP(RegionalData[[#This Row],[Article code]],MArticle[],2,0)</f>
        <v>Women type T simple white</v>
      </c>
      <c r="L37" s="45" t="str">
        <f>VLOOKUP(RegionalData[[#This Row],[Company ID]],MCompany[],3,0)</f>
        <v>USD</v>
      </c>
      <c r="M37" s="45">
        <f>IF(RegionalData[[#This Row],[Currency]]="EUR",ROUND(VLOOKUP(MONTH(RegionalData[[#This Row],[Document Date]]),MExchange[],2,0)*RegionalData[[#This Row],[Sales Local Currency]],0),RegionalData[[#This Row],[Sales Local Currency]])</f>
        <v>1440</v>
      </c>
      <c r="AJ37" s="33" t="s">
        <v>47</v>
      </c>
      <c r="AK37" s="37">
        <v>9840</v>
      </c>
      <c r="AL37" s="37">
        <v>820</v>
      </c>
    </row>
    <row r="38" spans="1:38" x14ac:dyDescent="0.25">
      <c r="A38" t="s">
        <v>28</v>
      </c>
      <c r="B38">
        <v>65662</v>
      </c>
      <c r="C38" s="24">
        <v>43388</v>
      </c>
      <c r="D38">
        <v>8020</v>
      </c>
      <c r="E38">
        <v>104</v>
      </c>
      <c r="G38">
        <v>110</v>
      </c>
      <c r="H38">
        <v>1320</v>
      </c>
      <c r="I38" s="45" t="str">
        <f>VLOOKUP(RegionalData[[#This Row],[Company ID]],MCompany[],2,0)</f>
        <v>Urban Right</v>
      </c>
      <c r="J38" s="45" t="str">
        <f>VLOOKUP(RegionalData[[#This Row],[Customer code]],MCustomer[],2,0)</f>
        <v>Erma</v>
      </c>
      <c r="K38" s="45" t="str">
        <f>VLOOKUP(RegionalData[[#This Row],[Article code]],MArticle[],2,0)</f>
        <v>Women type T simple black</v>
      </c>
      <c r="L38" s="45" t="str">
        <f>VLOOKUP(RegionalData[[#This Row],[Company ID]],MCompany[],3,0)</f>
        <v>USD</v>
      </c>
      <c r="M38" s="45">
        <f>IF(RegionalData[[#This Row],[Currency]]="EUR",ROUND(VLOOKUP(MONTH(RegionalData[[#This Row],[Document Date]]),MExchange[],2,0)*RegionalData[[#This Row],[Sales Local Currency]],0),RegionalData[[#This Row],[Sales Local Currency]])</f>
        <v>1320</v>
      </c>
      <c r="AJ38" s="33" t="s">
        <v>45</v>
      </c>
      <c r="AK38" s="37">
        <v>18120</v>
      </c>
      <c r="AL38" s="37">
        <v>1510</v>
      </c>
    </row>
    <row r="39" spans="1:38" x14ac:dyDescent="0.25">
      <c r="A39" t="s">
        <v>28</v>
      </c>
      <c r="B39">
        <v>65666</v>
      </c>
      <c r="C39" s="24">
        <v>43388</v>
      </c>
      <c r="D39">
        <v>8010</v>
      </c>
      <c r="E39">
        <v>103</v>
      </c>
      <c r="G39">
        <v>120</v>
      </c>
      <c r="H39">
        <v>1440</v>
      </c>
      <c r="I39" s="45" t="str">
        <f>VLOOKUP(RegionalData[[#This Row],[Company ID]],MCompany[],2,0)</f>
        <v>Urban Right</v>
      </c>
      <c r="J39" s="45" t="str">
        <f>VLOOKUP(RegionalData[[#This Row],[Customer code]],MCustomer[],2,0)</f>
        <v>Dellicia</v>
      </c>
      <c r="K39" s="45" t="str">
        <f>VLOOKUP(RegionalData[[#This Row],[Article code]],MArticle[],2,0)</f>
        <v>Women type T simple white</v>
      </c>
      <c r="L39" s="45" t="str">
        <f>VLOOKUP(RegionalData[[#This Row],[Company ID]],MCompany[],3,0)</f>
        <v>USD</v>
      </c>
      <c r="M39" s="45">
        <f>IF(RegionalData[[#This Row],[Currency]]="EUR",ROUND(VLOOKUP(MONTH(RegionalData[[#This Row],[Document Date]]),MExchange[],2,0)*RegionalData[[#This Row],[Sales Local Currency]],0),RegionalData[[#This Row],[Sales Local Currency]])</f>
        <v>1440</v>
      </c>
      <c r="AJ39" s="32" t="s">
        <v>8</v>
      </c>
      <c r="AK39" s="37">
        <v>20640</v>
      </c>
      <c r="AL39" s="37">
        <v>1720</v>
      </c>
    </row>
    <row r="40" spans="1:38" x14ac:dyDescent="0.25">
      <c r="A40" t="s">
        <v>28</v>
      </c>
      <c r="B40">
        <v>65666</v>
      </c>
      <c r="C40" s="24">
        <v>43388</v>
      </c>
      <c r="D40">
        <v>8010</v>
      </c>
      <c r="E40">
        <v>104</v>
      </c>
      <c r="G40">
        <v>140</v>
      </c>
      <c r="H40">
        <v>1680</v>
      </c>
      <c r="I40" s="45" t="str">
        <f>VLOOKUP(RegionalData[[#This Row],[Company ID]],MCompany[],2,0)</f>
        <v>Urban Right</v>
      </c>
      <c r="J40" s="45" t="str">
        <f>VLOOKUP(RegionalData[[#This Row],[Customer code]],MCustomer[],2,0)</f>
        <v>Dellicia</v>
      </c>
      <c r="K40" s="45" t="str">
        <f>VLOOKUP(RegionalData[[#This Row],[Article code]],MArticle[],2,0)</f>
        <v>Women type T simple black</v>
      </c>
      <c r="L40" s="45" t="str">
        <f>VLOOKUP(RegionalData[[#This Row],[Company ID]],MCompany[],3,0)</f>
        <v>USD</v>
      </c>
      <c r="M40" s="45">
        <f>IF(RegionalData[[#This Row],[Currency]]="EUR",ROUND(VLOOKUP(MONTH(RegionalData[[#This Row],[Document Date]]),MExchange[],2,0)*RegionalData[[#This Row],[Sales Local Currency]],0),RegionalData[[#This Row],[Sales Local Currency]])</f>
        <v>1680</v>
      </c>
      <c r="AJ40" s="33" t="s">
        <v>47</v>
      </c>
      <c r="AK40" s="37">
        <v>10080</v>
      </c>
      <c r="AL40" s="37">
        <v>840</v>
      </c>
    </row>
    <row r="41" spans="1:38" x14ac:dyDescent="0.25">
      <c r="A41" t="s">
        <v>28</v>
      </c>
      <c r="B41">
        <v>65666</v>
      </c>
      <c r="C41" s="24">
        <v>43388</v>
      </c>
      <c r="D41">
        <v>8010</v>
      </c>
      <c r="E41">
        <v>105</v>
      </c>
      <c r="G41">
        <v>160</v>
      </c>
      <c r="H41">
        <v>1600</v>
      </c>
      <c r="I41" s="45" t="str">
        <f>VLOOKUP(RegionalData[[#This Row],[Company ID]],MCompany[],2,0)</f>
        <v>Urban Right</v>
      </c>
      <c r="J41" s="45" t="str">
        <f>VLOOKUP(RegionalData[[#This Row],[Customer code]],MCustomer[],2,0)</f>
        <v>Dellicia</v>
      </c>
      <c r="K41" s="45" t="str">
        <f>VLOOKUP(RegionalData[[#This Row],[Article code]],MArticle[],2,0)</f>
        <v>Women crop top black</v>
      </c>
      <c r="L41" s="45" t="str">
        <f>VLOOKUP(RegionalData[[#This Row],[Company ID]],MCompany[],3,0)</f>
        <v>USD</v>
      </c>
      <c r="M41" s="45">
        <f>IF(RegionalData[[#This Row],[Currency]]="EUR",ROUND(VLOOKUP(MONTH(RegionalData[[#This Row],[Document Date]]),MExchange[],2,0)*RegionalData[[#This Row],[Sales Local Currency]],0),RegionalData[[#This Row],[Sales Local Currency]])</f>
        <v>1600</v>
      </c>
      <c r="AJ41" s="33" t="s">
        <v>45</v>
      </c>
      <c r="AK41" s="37">
        <v>10560</v>
      </c>
      <c r="AL41" s="37">
        <v>880</v>
      </c>
    </row>
    <row r="42" spans="1:38" x14ac:dyDescent="0.25">
      <c r="A42" t="s">
        <v>28</v>
      </c>
      <c r="B42">
        <v>65666</v>
      </c>
      <c r="C42" s="24">
        <v>43388</v>
      </c>
      <c r="D42">
        <v>8020</v>
      </c>
      <c r="E42">
        <v>107</v>
      </c>
      <c r="G42">
        <v>120</v>
      </c>
      <c r="H42">
        <v>600</v>
      </c>
      <c r="I42" s="45" t="str">
        <f>VLOOKUP(RegionalData[[#This Row],[Company ID]],MCompany[],2,0)</f>
        <v>Urban Right</v>
      </c>
      <c r="J42" s="45" t="str">
        <f>VLOOKUP(RegionalData[[#This Row],[Customer code]],MCustomer[],2,0)</f>
        <v>Erma</v>
      </c>
      <c r="K42" s="45" t="str">
        <f>VLOOKUP(RegionalData[[#This Row],[Article code]],MArticle[],2,0)</f>
        <v>Women basics</v>
      </c>
      <c r="L42" s="45" t="str">
        <f>VLOOKUP(RegionalData[[#This Row],[Company ID]],MCompany[],3,0)</f>
        <v>USD</v>
      </c>
      <c r="M42" s="45">
        <f>IF(RegionalData[[#This Row],[Currency]]="EUR",ROUND(VLOOKUP(MONTH(RegionalData[[#This Row],[Document Date]]),MExchange[],2,0)*RegionalData[[#This Row],[Sales Local Currency]],0),RegionalData[[#This Row],[Sales Local Currency]])</f>
        <v>600</v>
      </c>
      <c r="AJ42" s="31" t="s">
        <v>120</v>
      </c>
      <c r="AK42" s="37">
        <v>66100</v>
      </c>
      <c r="AL42" s="37">
        <v>6120</v>
      </c>
    </row>
    <row r="43" spans="1:38" x14ac:dyDescent="0.25">
      <c r="A43" t="s">
        <v>28</v>
      </c>
      <c r="B43">
        <v>65666</v>
      </c>
      <c r="C43" s="24">
        <v>43388</v>
      </c>
      <c r="D43">
        <v>8020</v>
      </c>
      <c r="E43">
        <v>103</v>
      </c>
      <c r="G43">
        <v>200</v>
      </c>
      <c r="H43">
        <v>2400</v>
      </c>
      <c r="I43" s="45" t="str">
        <f>VLOOKUP(RegionalData[[#This Row],[Company ID]],MCompany[],2,0)</f>
        <v>Urban Right</v>
      </c>
      <c r="J43" s="45" t="str">
        <f>VLOOKUP(RegionalData[[#This Row],[Customer code]],MCustomer[],2,0)</f>
        <v>Erma</v>
      </c>
      <c r="K43" s="45" t="str">
        <f>VLOOKUP(RegionalData[[#This Row],[Article code]],MArticle[],2,0)</f>
        <v>Women type T simple white</v>
      </c>
      <c r="L43" s="45" t="str">
        <f>VLOOKUP(RegionalData[[#This Row],[Company ID]],MCompany[],3,0)</f>
        <v>USD</v>
      </c>
      <c r="M43" s="45">
        <f>IF(RegionalData[[#This Row],[Currency]]="EUR",ROUND(VLOOKUP(MONTH(RegionalData[[#This Row],[Document Date]]),MExchange[],2,0)*RegionalData[[#This Row],[Sales Local Currency]],0),RegionalData[[#This Row],[Sales Local Currency]])</f>
        <v>2400</v>
      </c>
      <c r="AJ43" s="31" t="s">
        <v>96</v>
      </c>
      <c r="AK43" s="37">
        <v>85740</v>
      </c>
      <c r="AL43" s="37">
        <v>7380</v>
      </c>
    </row>
    <row r="44" spans="1:38" x14ac:dyDescent="0.25">
      <c r="A44" t="s">
        <v>28</v>
      </c>
      <c r="B44">
        <v>66015</v>
      </c>
      <c r="C44" s="24">
        <v>43383</v>
      </c>
      <c r="D44">
        <v>8010</v>
      </c>
      <c r="E44">
        <v>103</v>
      </c>
      <c r="G44">
        <v>140</v>
      </c>
      <c r="H44">
        <v>1680</v>
      </c>
      <c r="I44" s="45" t="str">
        <f>VLOOKUP(RegionalData[[#This Row],[Company ID]],MCompany[],2,0)</f>
        <v>Urban Right</v>
      </c>
      <c r="J44" s="45" t="str">
        <f>VLOOKUP(RegionalData[[#This Row],[Customer code]],MCustomer[],2,0)</f>
        <v>Dellicia</v>
      </c>
      <c r="K44" s="45" t="str">
        <f>VLOOKUP(RegionalData[[#This Row],[Article code]],MArticle[],2,0)</f>
        <v>Women type T simple white</v>
      </c>
      <c r="L44" s="45" t="str">
        <f>VLOOKUP(RegionalData[[#This Row],[Company ID]],MCompany[],3,0)</f>
        <v>USD</v>
      </c>
      <c r="M44" s="45">
        <f>IF(RegionalData[[#This Row],[Currency]]="EUR",ROUND(VLOOKUP(MONTH(RegionalData[[#This Row],[Document Date]]),MExchange[],2,0)*RegionalData[[#This Row],[Sales Local Currency]],0),RegionalData[[#This Row],[Sales Local Currency]])</f>
        <v>1680</v>
      </c>
    </row>
    <row r="45" spans="1:38" x14ac:dyDescent="0.25">
      <c r="A45" t="s">
        <v>28</v>
      </c>
      <c r="B45">
        <v>66015</v>
      </c>
      <c r="C45" s="24">
        <v>43383</v>
      </c>
      <c r="D45">
        <v>8010</v>
      </c>
      <c r="E45">
        <v>104</v>
      </c>
      <c r="G45">
        <v>140</v>
      </c>
      <c r="H45">
        <v>1680</v>
      </c>
      <c r="I45" s="45" t="str">
        <f>VLOOKUP(RegionalData[[#This Row],[Company ID]],MCompany[],2,0)</f>
        <v>Urban Right</v>
      </c>
      <c r="J45" s="45" t="str">
        <f>VLOOKUP(RegionalData[[#This Row],[Customer code]],MCustomer[],2,0)</f>
        <v>Dellicia</v>
      </c>
      <c r="K45" s="45" t="str">
        <f>VLOOKUP(RegionalData[[#This Row],[Article code]],MArticle[],2,0)</f>
        <v>Women type T simple black</v>
      </c>
      <c r="L45" s="45" t="str">
        <f>VLOOKUP(RegionalData[[#This Row],[Company ID]],MCompany[],3,0)</f>
        <v>USD</v>
      </c>
      <c r="M45" s="45">
        <f>IF(RegionalData[[#This Row],[Currency]]="EUR",ROUND(VLOOKUP(MONTH(RegionalData[[#This Row],[Document Date]]),MExchange[],2,0)*RegionalData[[#This Row],[Sales Local Currency]],0),RegionalData[[#This Row],[Sales Local Currency]])</f>
        <v>1680</v>
      </c>
    </row>
    <row r="46" spans="1:38" x14ac:dyDescent="0.25">
      <c r="A46" t="s">
        <v>28</v>
      </c>
      <c r="B46">
        <v>66017</v>
      </c>
      <c r="C46" s="24">
        <v>43386</v>
      </c>
      <c r="D46">
        <v>8010</v>
      </c>
      <c r="E46">
        <v>103</v>
      </c>
      <c r="G46">
        <v>140</v>
      </c>
      <c r="H46">
        <v>1680</v>
      </c>
      <c r="I46" s="45" t="str">
        <f>VLOOKUP(RegionalData[[#This Row],[Company ID]],MCompany[],2,0)</f>
        <v>Urban Right</v>
      </c>
      <c r="J46" s="45" t="str">
        <f>VLOOKUP(RegionalData[[#This Row],[Customer code]],MCustomer[],2,0)</f>
        <v>Dellicia</v>
      </c>
      <c r="K46" s="45" t="str">
        <f>VLOOKUP(RegionalData[[#This Row],[Article code]],MArticle[],2,0)</f>
        <v>Women type T simple white</v>
      </c>
      <c r="L46" s="45" t="str">
        <f>VLOOKUP(RegionalData[[#This Row],[Company ID]],MCompany[],3,0)</f>
        <v>USD</v>
      </c>
      <c r="M46" s="45">
        <f>IF(RegionalData[[#This Row],[Currency]]="EUR",ROUND(VLOOKUP(MONTH(RegionalData[[#This Row],[Document Date]]),MExchange[],2,0)*RegionalData[[#This Row],[Sales Local Currency]],0),RegionalData[[#This Row],[Sales Local Currency]])</f>
        <v>1680</v>
      </c>
    </row>
    <row r="47" spans="1:38" x14ac:dyDescent="0.25">
      <c r="A47" t="s">
        <v>28</v>
      </c>
      <c r="B47">
        <v>66017</v>
      </c>
      <c r="C47" s="24">
        <v>43386</v>
      </c>
      <c r="D47">
        <v>8010</v>
      </c>
      <c r="E47">
        <v>104</v>
      </c>
      <c r="G47">
        <v>140</v>
      </c>
      <c r="H47">
        <v>1680</v>
      </c>
      <c r="I47" s="45" t="str">
        <f>VLOOKUP(RegionalData[[#This Row],[Company ID]],MCompany[],2,0)</f>
        <v>Urban Right</v>
      </c>
      <c r="J47" s="45" t="str">
        <f>VLOOKUP(RegionalData[[#This Row],[Customer code]],MCustomer[],2,0)</f>
        <v>Dellicia</v>
      </c>
      <c r="K47" s="45" t="str">
        <f>VLOOKUP(RegionalData[[#This Row],[Article code]],MArticle[],2,0)</f>
        <v>Women type T simple black</v>
      </c>
      <c r="L47" s="45" t="str">
        <f>VLOOKUP(RegionalData[[#This Row],[Company ID]],MCompany[],3,0)</f>
        <v>USD</v>
      </c>
      <c r="M47" s="45">
        <f>IF(RegionalData[[#This Row],[Currency]]="EUR",ROUND(VLOOKUP(MONTH(RegionalData[[#This Row],[Document Date]]),MExchange[],2,0)*RegionalData[[#This Row],[Sales Local Currency]],0),RegionalData[[#This Row],[Sales Local Currency]])</f>
        <v>1680</v>
      </c>
    </row>
    <row r="48" spans="1:38" x14ac:dyDescent="0.25">
      <c r="A48" t="s">
        <v>28</v>
      </c>
      <c r="B48">
        <v>66016</v>
      </c>
      <c r="C48" s="24">
        <v>43387</v>
      </c>
      <c r="D48">
        <v>8020</v>
      </c>
      <c r="E48">
        <v>103</v>
      </c>
      <c r="G48">
        <v>120</v>
      </c>
      <c r="H48">
        <v>1440</v>
      </c>
      <c r="I48" s="45" t="str">
        <f>VLOOKUP(RegionalData[[#This Row],[Company ID]],MCompany[],2,0)</f>
        <v>Urban Right</v>
      </c>
      <c r="J48" s="45" t="str">
        <f>VLOOKUP(RegionalData[[#This Row],[Customer code]],MCustomer[],2,0)</f>
        <v>Erma</v>
      </c>
      <c r="K48" s="45" t="str">
        <f>VLOOKUP(RegionalData[[#This Row],[Article code]],MArticle[],2,0)</f>
        <v>Women type T simple white</v>
      </c>
      <c r="L48" s="45" t="str">
        <f>VLOOKUP(RegionalData[[#This Row],[Company ID]],MCompany[],3,0)</f>
        <v>USD</v>
      </c>
      <c r="M48" s="45">
        <f>IF(RegionalData[[#This Row],[Currency]]="EUR",ROUND(VLOOKUP(MONTH(RegionalData[[#This Row],[Document Date]]),MExchange[],2,0)*RegionalData[[#This Row],[Sales Local Currency]],0),RegionalData[[#This Row],[Sales Local Currency]])</f>
        <v>1440</v>
      </c>
    </row>
    <row r="49" spans="1:13" x14ac:dyDescent="0.25">
      <c r="A49" t="s">
        <v>28</v>
      </c>
      <c r="B49">
        <v>66016</v>
      </c>
      <c r="C49" s="24">
        <v>43387</v>
      </c>
      <c r="D49">
        <v>8020</v>
      </c>
      <c r="E49">
        <v>104</v>
      </c>
      <c r="G49">
        <v>130</v>
      </c>
      <c r="H49">
        <v>1560</v>
      </c>
      <c r="I49" s="45" t="str">
        <f>VLOOKUP(RegionalData[[#This Row],[Company ID]],MCompany[],2,0)</f>
        <v>Urban Right</v>
      </c>
      <c r="J49" s="45" t="str">
        <f>VLOOKUP(RegionalData[[#This Row],[Customer code]],MCustomer[],2,0)</f>
        <v>Erma</v>
      </c>
      <c r="K49" s="45" t="str">
        <f>VLOOKUP(RegionalData[[#This Row],[Article code]],MArticle[],2,0)</f>
        <v>Women type T simple black</v>
      </c>
      <c r="L49" s="45" t="str">
        <f>VLOOKUP(RegionalData[[#This Row],[Company ID]],MCompany[],3,0)</f>
        <v>USD</v>
      </c>
      <c r="M49" s="45">
        <f>IF(RegionalData[[#This Row],[Currency]]="EUR",ROUND(VLOOKUP(MONTH(RegionalData[[#This Row],[Document Date]]),MExchange[],2,0)*RegionalData[[#This Row],[Sales Local Currency]],0),RegionalData[[#This Row],[Sales Local Currency]])</f>
        <v>1560</v>
      </c>
    </row>
    <row r="50" spans="1:13" x14ac:dyDescent="0.25">
      <c r="A50" t="s">
        <v>28</v>
      </c>
      <c r="B50">
        <v>66016</v>
      </c>
      <c r="C50" s="24">
        <v>43387</v>
      </c>
      <c r="D50">
        <v>8020</v>
      </c>
      <c r="E50">
        <v>105</v>
      </c>
      <c r="G50">
        <v>120</v>
      </c>
      <c r="H50">
        <v>1200</v>
      </c>
      <c r="I50" s="45" t="str">
        <f>VLOOKUP(RegionalData[[#This Row],[Company ID]],MCompany[],2,0)</f>
        <v>Urban Right</v>
      </c>
      <c r="J50" s="45" t="str">
        <f>VLOOKUP(RegionalData[[#This Row],[Customer code]],MCustomer[],2,0)</f>
        <v>Erma</v>
      </c>
      <c r="K50" s="45" t="str">
        <f>VLOOKUP(RegionalData[[#This Row],[Article code]],MArticle[],2,0)</f>
        <v>Women crop top black</v>
      </c>
      <c r="L50" s="45" t="str">
        <f>VLOOKUP(RegionalData[[#This Row],[Company ID]],MCompany[],3,0)</f>
        <v>USD</v>
      </c>
      <c r="M50" s="45">
        <f>IF(RegionalData[[#This Row],[Currency]]="EUR",ROUND(VLOOKUP(MONTH(RegionalData[[#This Row],[Document Date]]),MExchange[],2,0)*RegionalData[[#This Row],[Sales Local Currency]],0),RegionalData[[#This Row],[Sales Local Currency]])</f>
        <v>1200</v>
      </c>
    </row>
    <row r="51" spans="1:13" x14ac:dyDescent="0.25">
      <c r="A51" t="s">
        <v>28</v>
      </c>
      <c r="B51">
        <v>68097</v>
      </c>
      <c r="C51" s="24">
        <v>43390</v>
      </c>
      <c r="D51">
        <v>8010</v>
      </c>
      <c r="E51">
        <v>104</v>
      </c>
      <c r="G51">
        <v>140</v>
      </c>
      <c r="H51">
        <v>1680</v>
      </c>
      <c r="I51" s="45" t="str">
        <f>VLOOKUP(RegionalData[[#This Row],[Company ID]],MCompany[],2,0)</f>
        <v>Urban Right</v>
      </c>
      <c r="J51" s="45" t="str">
        <f>VLOOKUP(RegionalData[[#This Row],[Customer code]],MCustomer[],2,0)</f>
        <v>Dellicia</v>
      </c>
      <c r="K51" s="45" t="str">
        <f>VLOOKUP(RegionalData[[#This Row],[Article code]],MArticle[],2,0)</f>
        <v>Women type T simple black</v>
      </c>
      <c r="L51" s="45" t="str">
        <f>VLOOKUP(RegionalData[[#This Row],[Company ID]],MCompany[],3,0)</f>
        <v>USD</v>
      </c>
      <c r="M51" s="45">
        <f>IF(RegionalData[[#This Row],[Currency]]="EUR",ROUND(VLOOKUP(MONTH(RegionalData[[#This Row],[Document Date]]),MExchange[],2,0)*RegionalData[[#This Row],[Sales Local Currency]],0),RegionalData[[#This Row],[Sales Local Currency]])</f>
        <v>1680</v>
      </c>
    </row>
    <row r="52" spans="1:13" x14ac:dyDescent="0.25">
      <c r="A52" t="s">
        <v>28</v>
      </c>
      <c r="B52">
        <v>68097</v>
      </c>
      <c r="C52" s="24">
        <v>43390</v>
      </c>
      <c r="D52">
        <v>8010</v>
      </c>
      <c r="E52">
        <v>105</v>
      </c>
      <c r="G52">
        <v>130</v>
      </c>
      <c r="H52">
        <v>1300</v>
      </c>
      <c r="I52" s="45" t="str">
        <f>VLOOKUP(RegionalData[[#This Row],[Company ID]],MCompany[],2,0)</f>
        <v>Urban Right</v>
      </c>
      <c r="J52" s="45" t="str">
        <f>VLOOKUP(RegionalData[[#This Row],[Customer code]],MCustomer[],2,0)</f>
        <v>Dellicia</v>
      </c>
      <c r="K52" s="45" t="str">
        <f>VLOOKUP(RegionalData[[#This Row],[Article code]],MArticle[],2,0)</f>
        <v>Women crop top black</v>
      </c>
      <c r="L52" s="45" t="str">
        <f>VLOOKUP(RegionalData[[#This Row],[Company ID]],MCompany[],3,0)</f>
        <v>USD</v>
      </c>
      <c r="M52" s="45">
        <f>IF(RegionalData[[#This Row],[Currency]]="EUR",ROUND(VLOOKUP(MONTH(RegionalData[[#This Row],[Document Date]]),MExchange[],2,0)*RegionalData[[#This Row],[Sales Local Currency]],0),RegionalData[[#This Row],[Sales Local Currency]])</f>
        <v>1300</v>
      </c>
    </row>
    <row r="53" spans="1:13" x14ac:dyDescent="0.25">
      <c r="A53" t="s">
        <v>28</v>
      </c>
      <c r="B53">
        <v>68099</v>
      </c>
      <c r="C53" s="24">
        <v>43390</v>
      </c>
      <c r="D53">
        <v>8020</v>
      </c>
      <c r="E53">
        <v>104</v>
      </c>
      <c r="G53">
        <v>120</v>
      </c>
      <c r="H53">
        <v>1440</v>
      </c>
      <c r="I53" s="45" t="str">
        <f>VLOOKUP(RegionalData[[#This Row],[Company ID]],MCompany[],2,0)</f>
        <v>Urban Right</v>
      </c>
      <c r="J53" s="45" t="str">
        <f>VLOOKUP(RegionalData[[#This Row],[Customer code]],MCustomer[],2,0)</f>
        <v>Erma</v>
      </c>
      <c r="K53" s="45" t="str">
        <f>VLOOKUP(RegionalData[[#This Row],[Article code]],MArticle[],2,0)</f>
        <v>Women type T simple black</v>
      </c>
      <c r="L53" s="45" t="str">
        <f>VLOOKUP(RegionalData[[#This Row],[Company ID]],MCompany[],3,0)</f>
        <v>USD</v>
      </c>
      <c r="M53" s="45">
        <f>IF(RegionalData[[#This Row],[Currency]]="EUR",ROUND(VLOOKUP(MONTH(RegionalData[[#This Row],[Document Date]]),MExchange[],2,0)*RegionalData[[#This Row],[Sales Local Currency]],0),RegionalData[[#This Row],[Sales Local Currency]])</f>
        <v>1440</v>
      </c>
    </row>
    <row r="54" spans="1:13" x14ac:dyDescent="0.25">
      <c r="A54" t="s">
        <v>28</v>
      </c>
      <c r="B54">
        <v>68099</v>
      </c>
      <c r="C54" s="24">
        <v>43390</v>
      </c>
      <c r="D54">
        <v>8020</v>
      </c>
      <c r="E54">
        <v>105</v>
      </c>
      <c r="F54">
        <v>2</v>
      </c>
      <c r="G54">
        <v>140</v>
      </c>
      <c r="H54">
        <v>1400</v>
      </c>
      <c r="I54" s="45" t="str">
        <f>VLOOKUP(RegionalData[[#This Row],[Company ID]],MCompany[],2,0)</f>
        <v>Urban Right</v>
      </c>
      <c r="J54" s="45" t="str">
        <f>VLOOKUP(RegionalData[[#This Row],[Customer code]],MCustomer[],2,0)</f>
        <v>Erma</v>
      </c>
      <c r="K54" s="45" t="str">
        <f>VLOOKUP(RegionalData[[#This Row],[Article code]],MArticle[],2,0)</f>
        <v>Women crop top black</v>
      </c>
      <c r="L54" s="45" t="str">
        <f>VLOOKUP(RegionalData[[#This Row],[Company ID]],MCompany[],3,0)</f>
        <v>USD</v>
      </c>
      <c r="M54" s="45">
        <f>IF(RegionalData[[#This Row],[Currency]]="EUR",ROUND(VLOOKUP(MONTH(RegionalData[[#This Row],[Document Date]]),MExchange[],2,0)*RegionalData[[#This Row],[Sales Local Currency]],0),RegionalData[[#This Row],[Sales Local Currency]])</f>
        <v>1400</v>
      </c>
    </row>
    <row r="55" spans="1:13" x14ac:dyDescent="0.25">
      <c r="A55" t="s">
        <v>28</v>
      </c>
      <c r="B55">
        <v>68099</v>
      </c>
      <c r="C55" s="24">
        <v>43390</v>
      </c>
      <c r="D55">
        <v>8020</v>
      </c>
      <c r="E55">
        <v>107</v>
      </c>
      <c r="G55">
        <v>170</v>
      </c>
      <c r="H55">
        <v>850</v>
      </c>
      <c r="I55" s="45" t="str">
        <f>VLOOKUP(RegionalData[[#This Row],[Company ID]],MCompany[],2,0)</f>
        <v>Urban Right</v>
      </c>
      <c r="J55" s="45" t="str">
        <f>VLOOKUP(RegionalData[[#This Row],[Customer code]],MCustomer[],2,0)</f>
        <v>Erma</v>
      </c>
      <c r="K55" s="45" t="str">
        <f>VLOOKUP(RegionalData[[#This Row],[Article code]],MArticle[],2,0)</f>
        <v>Women basics</v>
      </c>
      <c r="L55" s="45" t="str">
        <f>VLOOKUP(RegionalData[[#This Row],[Company ID]],MCompany[],3,0)</f>
        <v>USD</v>
      </c>
      <c r="M55" s="45">
        <f>IF(RegionalData[[#This Row],[Currency]]="EUR",ROUND(VLOOKUP(MONTH(RegionalData[[#This Row],[Document Date]]),MExchange[],2,0)*RegionalData[[#This Row],[Sales Local Currency]],0),RegionalData[[#This Row],[Sales Local Currency]])</f>
        <v>850</v>
      </c>
    </row>
    <row r="56" spans="1:13" x14ac:dyDescent="0.25">
      <c r="A56" t="s">
        <v>28</v>
      </c>
      <c r="B56">
        <v>68101</v>
      </c>
      <c r="C56" s="24">
        <v>43390</v>
      </c>
      <c r="D56">
        <v>8010</v>
      </c>
      <c r="E56">
        <v>104</v>
      </c>
      <c r="G56">
        <v>190</v>
      </c>
      <c r="H56">
        <v>2280</v>
      </c>
      <c r="I56" s="45" t="str">
        <f>VLOOKUP(RegionalData[[#This Row],[Company ID]],MCompany[],2,0)</f>
        <v>Urban Right</v>
      </c>
      <c r="J56" s="45" t="str">
        <f>VLOOKUP(RegionalData[[#This Row],[Customer code]],MCustomer[],2,0)</f>
        <v>Dellicia</v>
      </c>
      <c r="K56" s="45" t="str">
        <f>VLOOKUP(RegionalData[[#This Row],[Article code]],MArticle[],2,0)</f>
        <v>Women type T simple black</v>
      </c>
      <c r="L56" s="45" t="str">
        <f>VLOOKUP(RegionalData[[#This Row],[Company ID]],MCompany[],3,0)</f>
        <v>USD</v>
      </c>
      <c r="M56" s="45">
        <f>IF(RegionalData[[#This Row],[Currency]]="EUR",ROUND(VLOOKUP(MONTH(RegionalData[[#This Row],[Document Date]]),MExchange[],2,0)*RegionalData[[#This Row],[Sales Local Currency]],0),RegionalData[[#This Row],[Sales Local Currency]])</f>
        <v>2280</v>
      </c>
    </row>
    <row r="57" spans="1:13" x14ac:dyDescent="0.25">
      <c r="A57" t="s">
        <v>28</v>
      </c>
      <c r="B57">
        <v>68101</v>
      </c>
      <c r="C57" s="24">
        <v>43390</v>
      </c>
      <c r="D57">
        <v>8010</v>
      </c>
      <c r="E57">
        <v>105</v>
      </c>
      <c r="G57">
        <v>140</v>
      </c>
      <c r="H57">
        <v>1400</v>
      </c>
      <c r="I57" s="45" t="str">
        <f>VLOOKUP(RegionalData[[#This Row],[Company ID]],MCompany[],2,0)</f>
        <v>Urban Right</v>
      </c>
      <c r="J57" s="45" t="str">
        <f>VLOOKUP(RegionalData[[#This Row],[Customer code]],MCustomer[],2,0)</f>
        <v>Dellicia</v>
      </c>
      <c r="K57" s="45" t="str">
        <f>VLOOKUP(RegionalData[[#This Row],[Article code]],MArticle[],2,0)</f>
        <v>Women crop top black</v>
      </c>
      <c r="L57" s="45" t="str">
        <f>VLOOKUP(RegionalData[[#This Row],[Company ID]],MCompany[],3,0)</f>
        <v>USD</v>
      </c>
      <c r="M57" s="45">
        <f>IF(RegionalData[[#This Row],[Currency]]="EUR",ROUND(VLOOKUP(MONTH(RegionalData[[#This Row],[Document Date]]),MExchange[],2,0)*RegionalData[[#This Row],[Sales Local Currency]],0),RegionalData[[#This Row],[Sales Local Currency]])</f>
        <v>1400</v>
      </c>
    </row>
    <row r="58" spans="1:13" x14ac:dyDescent="0.25">
      <c r="A58" t="s">
        <v>28</v>
      </c>
      <c r="B58">
        <v>65627</v>
      </c>
      <c r="C58" s="24">
        <v>43394</v>
      </c>
      <c r="D58">
        <v>8020</v>
      </c>
      <c r="E58">
        <v>103</v>
      </c>
      <c r="G58">
        <v>140</v>
      </c>
      <c r="H58">
        <v>1680</v>
      </c>
      <c r="I58" s="45" t="str">
        <f>VLOOKUP(RegionalData[[#This Row],[Company ID]],MCompany[],2,0)</f>
        <v>Urban Right</v>
      </c>
      <c r="J58" s="45" t="str">
        <f>VLOOKUP(RegionalData[[#This Row],[Customer code]],MCustomer[],2,0)</f>
        <v>Erma</v>
      </c>
      <c r="K58" s="45" t="str">
        <f>VLOOKUP(RegionalData[[#This Row],[Article code]],MArticle[],2,0)</f>
        <v>Women type T simple white</v>
      </c>
      <c r="L58" s="45" t="str">
        <f>VLOOKUP(RegionalData[[#This Row],[Company ID]],MCompany[],3,0)</f>
        <v>USD</v>
      </c>
      <c r="M58" s="45">
        <f>IF(RegionalData[[#This Row],[Currency]]="EUR",ROUND(VLOOKUP(MONTH(RegionalData[[#This Row],[Document Date]]),MExchange[],2,0)*RegionalData[[#This Row],[Sales Local Currency]],0),RegionalData[[#This Row],[Sales Local Currency]])</f>
        <v>1680</v>
      </c>
    </row>
    <row r="59" spans="1:13" x14ac:dyDescent="0.25">
      <c r="A59" t="s">
        <v>28</v>
      </c>
      <c r="B59">
        <v>65627</v>
      </c>
      <c r="C59" s="24">
        <v>43394</v>
      </c>
      <c r="D59">
        <v>8020</v>
      </c>
      <c r="E59">
        <v>104</v>
      </c>
      <c r="F59">
        <v>3</v>
      </c>
      <c r="G59">
        <v>160</v>
      </c>
      <c r="H59">
        <v>1920</v>
      </c>
      <c r="I59" s="45" t="str">
        <f>VLOOKUP(RegionalData[[#This Row],[Company ID]],MCompany[],2,0)</f>
        <v>Urban Right</v>
      </c>
      <c r="J59" s="45" t="str">
        <f>VLOOKUP(RegionalData[[#This Row],[Customer code]],MCustomer[],2,0)</f>
        <v>Erma</v>
      </c>
      <c r="K59" s="45" t="str">
        <f>VLOOKUP(RegionalData[[#This Row],[Article code]],MArticle[],2,0)</f>
        <v>Women type T simple black</v>
      </c>
      <c r="L59" s="45" t="str">
        <f>VLOOKUP(RegionalData[[#This Row],[Company ID]],MCompany[],3,0)</f>
        <v>USD</v>
      </c>
      <c r="M59" s="45">
        <f>IF(RegionalData[[#This Row],[Currency]]="EUR",ROUND(VLOOKUP(MONTH(RegionalData[[#This Row],[Document Date]]),MExchange[],2,0)*RegionalData[[#This Row],[Sales Local Currency]],0),RegionalData[[#This Row],[Sales Local Currency]])</f>
        <v>1920</v>
      </c>
    </row>
    <row r="60" spans="1:13" x14ac:dyDescent="0.25">
      <c r="A60" t="s">
        <v>28</v>
      </c>
      <c r="B60">
        <v>65629</v>
      </c>
      <c r="C60" s="24">
        <v>43394</v>
      </c>
      <c r="D60">
        <v>8010</v>
      </c>
      <c r="E60">
        <v>103</v>
      </c>
      <c r="G60">
        <v>190</v>
      </c>
      <c r="H60">
        <v>2280</v>
      </c>
      <c r="I60" s="45" t="str">
        <f>VLOOKUP(RegionalData[[#This Row],[Company ID]],MCompany[],2,0)</f>
        <v>Urban Right</v>
      </c>
      <c r="J60" s="45" t="str">
        <f>VLOOKUP(RegionalData[[#This Row],[Customer code]],MCustomer[],2,0)</f>
        <v>Dellicia</v>
      </c>
      <c r="K60" s="45" t="str">
        <f>VLOOKUP(RegionalData[[#This Row],[Article code]],MArticle[],2,0)</f>
        <v>Women type T simple white</v>
      </c>
      <c r="L60" s="45" t="str">
        <f>VLOOKUP(RegionalData[[#This Row],[Company ID]],MCompany[],3,0)</f>
        <v>USD</v>
      </c>
      <c r="M60" s="45">
        <f>IF(RegionalData[[#This Row],[Currency]]="EUR",ROUND(VLOOKUP(MONTH(RegionalData[[#This Row],[Document Date]]),MExchange[],2,0)*RegionalData[[#This Row],[Sales Local Currency]],0),RegionalData[[#This Row],[Sales Local Currency]])</f>
        <v>2280</v>
      </c>
    </row>
    <row r="61" spans="1:13" x14ac:dyDescent="0.25">
      <c r="A61" t="s">
        <v>28</v>
      </c>
      <c r="B61">
        <v>65629</v>
      </c>
      <c r="C61" s="24">
        <v>43394</v>
      </c>
      <c r="D61">
        <v>8010</v>
      </c>
      <c r="E61">
        <v>104</v>
      </c>
      <c r="G61">
        <v>130</v>
      </c>
      <c r="H61">
        <v>1560</v>
      </c>
      <c r="I61" s="45" t="str">
        <f>VLOOKUP(RegionalData[[#This Row],[Company ID]],MCompany[],2,0)</f>
        <v>Urban Right</v>
      </c>
      <c r="J61" s="45" t="str">
        <f>VLOOKUP(RegionalData[[#This Row],[Customer code]],MCustomer[],2,0)</f>
        <v>Dellicia</v>
      </c>
      <c r="K61" s="45" t="str">
        <f>VLOOKUP(RegionalData[[#This Row],[Article code]],MArticle[],2,0)</f>
        <v>Women type T simple black</v>
      </c>
      <c r="L61" s="45" t="str">
        <f>VLOOKUP(RegionalData[[#This Row],[Company ID]],MCompany[],3,0)</f>
        <v>USD</v>
      </c>
      <c r="M61" s="45">
        <f>IF(RegionalData[[#This Row],[Currency]]="EUR",ROUND(VLOOKUP(MONTH(RegionalData[[#This Row],[Document Date]]),MExchange[],2,0)*RegionalData[[#This Row],[Sales Local Currency]],0),RegionalData[[#This Row],[Sales Local Currency]])</f>
        <v>1560</v>
      </c>
    </row>
    <row r="62" spans="1:13" x14ac:dyDescent="0.25">
      <c r="A62" t="s">
        <v>28</v>
      </c>
      <c r="B62">
        <v>65629</v>
      </c>
      <c r="C62" s="24">
        <v>43394</v>
      </c>
      <c r="D62">
        <v>8010</v>
      </c>
      <c r="E62">
        <v>105</v>
      </c>
      <c r="G62">
        <v>140</v>
      </c>
      <c r="H62">
        <v>1400</v>
      </c>
      <c r="I62" s="45" t="str">
        <f>VLOOKUP(RegionalData[[#This Row],[Company ID]],MCompany[],2,0)</f>
        <v>Urban Right</v>
      </c>
      <c r="J62" s="45" t="str">
        <f>VLOOKUP(RegionalData[[#This Row],[Customer code]],MCustomer[],2,0)</f>
        <v>Dellicia</v>
      </c>
      <c r="K62" s="45" t="str">
        <f>VLOOKUP(RegionalData[[#This Row],[Article code]],MArticle[],2,0)</f>
        <v>Women crop top black</v>
      </c>
      <c r="L62" s="45" t="str">
        <f>VLOOKUP(RegionalData[[#This Row],[Company ID]],MCompany[],3,0)</f>
        <v>USD</v>
      </c>
      <c r="M62" s="45">
        <f>IF(RegionalData[[#This Row],[Currency]]="EUR",ROUND(VLOOKUP(MONTH(RegionalData[[#This Row],[Document Date]]),MExchange[],2,0)*RegionalData[[#This Row],[Sales Local Currency]],0),RegionalData[[#This Row],[Sales Local Currency]])</f>
        <v>1400</v>
      </c>
    </row>
    <row r="63" spans="1:13" x14ac:dyDescent="0.25">
      <c r="A63" t="s">
        <v>28</v>
      </c>
      <c r="B63">
        <v>65631</v>
      </c>
      <c r="C63" s="24">
        <v>43394</v>
      </c>
      <c r="D63">
        <v>8020</v>
      </c>
      <c r="E63">
        <v>107</v>
      </c>
      <c r="G63">
        <v>190</v>
      </c>
      <c r="H63">
        <v>950</v>
      </c>
      <c r="I63" s="45" t="str">
        <f>VLOOKUP(RegionalData[[#This Row],[Company ID]],MCompany[],2,0)</f>
        <v>Urban Right</v>
      </c>
      <c r="J63" s="45" t="str">
        <f>VLOOKUP(RegionalData[[#This Row],[Customer code]],MCustomer[],2,0)</f>
        <v>Erma</v>
      </c>
      <c r="K63" s="45" t="str">
        <f>VLOOKUP(RegionalData[[#This Row],[Article code]],MArticle[],2,0)</f>
        <v>Women basics</v>
      </c>
      <c r="L63" s="45" t="str">
        <f>VLOOKUP(RegionalData[[#This Row],[Company ID]],MCompany[],3,0)</f>
        <v>USD</v>
      </c>
      <c r="M63" s="45">
        <f>IF(RegionalData[[#This Row],[Currency]]="EUR",ROUND(VLOOKUP(MONTH(RegionalData[[#This Row],[Document Date]]),MExchange[],2,0)*RegionalData[[#This Row],[Sales Local Currency]],0),RegionalData[[#This Row],[Sales Local Currency]])</f>
        <v>950</v>
      </c>
    </row>
    <row r="64" spans="1:13" x14ac:dyDescent="0.25">
      <c r="A64" t="s">
        <v>28</v>
      </c>
      <c r="B64">
        <v>65631</v>
      </c>
      <c r="C64" s="24">
        <v>43394</v>
      </c>
      <c r="D64">
        <v>8020</v>
      </c>
      <c r="E64">
        <v>103</v>
      </c>
      <c r="G64">
        <v>120</v>
      </c>
      <c r="H64">
        <v>1440</v>
      </c>
      <c r="I64" s="45" t="str">
        <f>VLOOKUP(RegionalData[[#This Row],[Company ID]],MCompany[],2,0)</f>
        <v>Urban Right</v>
      </c>
      <c r="J64" s="45" t="str">
        <f>VLOOKUP(RegionalData[[#This Row],[Customer code]],MCustomer[],2,0)</f>
        <v>Erma</v>
      </c>
      <c r="K64" s="45" t="str">
        <f>VLOOKUP(RegionalData[[#This Row],[Article code]],MArticle[],2,0)</f>
        <v>Women type T simple white</v>
      </c>
      <c r="L64" s="45" t="str">
        <f>VLOOKUP(RegionalData[[#This Row],[Company ID]],MCompany[],3,0)</f>
        <v>USD</v>
      </c>
      <c r="M64" s="45">
        <f>IF(RegionalData[[#This Row],[Currency]]="EUR",ROUND(VLOOKUP(MONTH(RegionalData[[#This Row],[Document Date]]),MExchange[],2,0)*RegionalData[[#This Row],[Sales Local Currency]],0),RegionalData[[#This Row],[Sales Local Currency]])</f>
        <v>1440</v>
      </c>
    </row>
  </sheetData>
  <pageMargins left="0.7" right="0.7" top="0.75" bottom="0.75" header="0.3" footer="0.3"/>
  <drawing r:id="rId5"/>
  <tableParts count="1">
    <tablePart r:id="rId6"/>
  </tableParts>
  <extLst>
    <ext xmlns:x14="http://schemas.microsoft.com/office/spreadsheetml/2009/9/main" uri="{A8765BA9-456A-4dab-B4F3-ACF838C121DE}">
      <x14:slicerList>
        <x14:slicer r:id="rId7"/>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Map"/>
  <dimension ref="A1:J68"/>
  <sheetViews>
    <sheetView showGridLines="0" topLeftCell="A9" workbookViewId="0">
      <selection activeCell="B53" sqref="B53:C64"/>
    </sheetView>
  </sheetViews>
  <sheetFormatPr defaultRowHeight="12.5" x14ac:dyDescent="0.25"/>
  <cols>
    <col min="1" max="1" width="8.7265625" customWidth="1"/>
    <col min="2" max="2" width="21.7265625" customWidth="1"/>
    <col min="3" max="3" width="19.26953125" customWidth="1"/>
    <col min="4" max="4" width="15.08984375" customWidth="1"/>
    <col min="6" max="6" width="29.81640625" customWidth="1"/>
    <col min="7" max="7" width="13.7265625" customWidth="1"/>
    <col min="14" max="14" width="22.6328125" customWidth="1"/>
  </cols>
  <sheetData>
    <row r="1" spans="1:10" x14ac:dyDescent="0.25">
      <c r="A1" s="2"/>
      <c r="B1" s="2"/>
      <c r="C1" s="2"/>
      <c r="D1" s="2"/>
      <c r="E1" s="2"/>
      <c r="F1" s="2"/>
      <c r="G1" s="2"/>
      <c r="H1" s="2"/>
      <c r="I1" s="2"/>
      <c r="J1" s="2"/>
    </row>
    <row r="2" spans="1:10" ht="14" x14ac:dyDescent="0.3">
      <c r="A2" s="3"/>
      <c r="B2" s="3" t="s">
        <v>24</v>
      </c>
      <c r="C2" s="3"/>
      <c r="D2" s="3"/>
      <c r="E2" s="3"/>
      <c r="F2" s="3"/>
      <c r="G2" s="3"/>
      <c r="H2" s="3"/>
      <c r="I2" s="3"/>
      <c r="J2" s="3"/>
    </row>
    <row r="3" spans="1:10" ht="14" x14ac:dyDescent="0.3">
      <c r="A3" s="3"/>
      <c r="B3" s="3" t="s">
        <v>25</v>
      </c>
      <c r="C3" s="3"/>
      <c r="D3" s="3"/>
      <c r="E3" s="3"/>
      <c r="F3" s="3"/>
      <c r="G3" s="3"/>
      <c r="H3" s="3"/>
      <c r="I3" s="3"/>
      <c r="J3" s="3"/>
    </row>
    <row r="4" spans="1:10" x14ac:dyDescent="0.25">
      <c r="A4" s="2"/>
      <c r="B4" s="2"/>
      <c r="C4" s="2"/>
      <c r="D4" s="2"/>
      <c r="E4" s="2"/>
      <c r="F4" s="2"/>
      <c r="G4" s="2"/>
      <c r="H4" s="2"/>
      <c r="I4" s="2"/>
      <c r="J4" s="2"/>
    </row>
    <row r="6" spans="1:10" x14ac:dyDescent="0.25">
      <c r="A6" s="4" t="s">
        <v>27</v>
      </c>
      <c r="B6" s="4"/>
      <c r="C6" s="4"/>
      <c r="D6" s="4"/>
      <c r="E6" s="4"/>
      <c r="F6" s="4"/>
      <c r="G6" s="4"/>
      <c r="H6" s="4"/>
      <c r="I6" s="4"/>
      <c r="J6" s="4"/>
    </row>
    <row r="8" spans="1:10" ht="26.25" customHeight="1" x14ac:dyDescent="0.25">
      <c r="B8" s="5" t="s">
        <v>50</v>
      </c>
      <c r="C8" s="6" t="s">
        <v>35</v>
      </c>
      <c r="D8" s="6" t="s">
        <v>3</v>
      </c>
      <c r="E8" s="6" t="s">
        <v>53</v>
      </c>
      <c r="G8" s="6" t="s">
        <v>58</v>
      </c>
    </row>
    <row r="9" spans="1:10" x14ac:dyDescent="0.25">
      <c r="B9" t="s">
        <v>28</v>
      </c>
      <c r="C9" t="s">
        <v>32</v>
      </c>
      <c r="D9" t="s">
        <v>1</v>
      </c>
      <c r="E9" t="s">
        <v>54</v>
      </c>
      <c r="G9" t="s">
        <v>54</v>
      </c>
    </row>
    <row r="10" spans="1:10" x14ac:dyDescent="0.25">
      <c r="B10" t="s">
        <v>29</v>
      </c>
      <c r="C10" t="s">
        <v>46</v>
      </c>
      <c r="D10" t="s">
        <v>1</v>
      </c>
      <c r="E10" t="s">
        <v>54</v>
      </c>
      <c r="G10" t="s">
        <v>55</v>
      </c>
    </row>
    <row r="11" spans="1:10" x14ac:dyDescent="0.25">
      <c r="B11" t="s">
        <v>30</v>
      </c>
      <c r="C11" t="s">
        <v>34</v>
      </c>
      <c r="D11" t="s">
        <v>38</v>
      </c>
      <c r="E11" t="s">
        <v>55</v>
      </c>
    </row>
    <row r="12" spans="1:10" x14ac:dyDescent="0.25">
      <c r="B12" t="s">
        <v>31</v>
      </c>
      <c r="C12" t="s">
        <v>33</v>
      </c>
      <c r="D12" t="s">
        <v>38</v>
      </c>
      <c r="E12" t="s">
        <v>55</v>
      </c>
    </row>
    <row r="14" spans="1:10" x14ac:dyDescent="0.25">
      <c r="A14" s="4" t="s">
        <v>36</v>
      </c>
      <c r="B14" s="4"/>
      <c r="C14" s="4"/>
      <c r="D14" s="4"/>
      <c r="E14" s="4"/>
      <c r="F14" s="4"/>
      <c r="G14" s="4"/>
      <c r="H14" s="4"/>
      <c r="I14" s="4"/>
      <c r="J14" s="4"/>
    </row>
    <row r="16" spans="1:10" ht="14" x14ac:dyDescent="0.25">
      <c r="B16" s="5" t="s">
        <v>49</v>
      </c>
      <c r="C16" s="6" t="s">
        <v>44</v>
      </c>
    </row>
    <row r="17" spans="1:10" x14ac:dyDescent="0.25">
      <c r="B17">
        <v>8010</v>
      </c>
      <c r="C17" t="s">
        <v>45</v>
      </c>
    </row>
    <row r="18" spans="1:10" x14ac:dyDescent="0.25">
      <c r="B18">
        <v>8020</v>
      </c>
      <c r="C18" t="s">
        <v>47</v>
      </c>
    </row>
    <row r="19" spans="1:10" x14ac:dyDescent="0.25">
      <c r="B19">
        <v>8030</v>
      </c>
      <c r="C19" t="s">
        <v>48</v>
      </c>
    </row>
    <row r="20" spans="1:10" x14ac:dyDescent="0.25">
      <c r="B20">
        <v>8040</v>
      </c>
      <c r="C20" t="s">
        <v>59</v>
      </c>
    </row>
    <row r="21" spans="1:10" x14ac:dyDescent="0.25">
      <c r="B21">
        <v>8050</v>
      </c>
      <c r="C21" t="s">
        <v>60</v>
      </c>
    </row>
    <row r="22" spans="1:10" x14ac:dyDescent="0.25">
      <c r="B22">
        <v>8060</v>
      </c>
      <c r="C22" t="s">
        <v>61</v>
      </c>
    </row>
    <row r="24" spans="1:10" x14ac:dyDescent="0.25">
      <c r="A24" s="4" t="s">
        <v>26</v>
      </c>
      <c r="B24" s="4"/>
      <c r="C24" s="4"/>
      <c r="D24" s="4"/>
      <c r="E24" s="4"/>
      <c r="F24" s="4"/>
      <c r="G24" s="4"/>
      <c r="H24" s="4"/>
      <c r="I24" s="4"/>
      <c r="J24" s="4"/>
    </row>
    <row r="26" spans="1:10" ht="14" x14ac:dyDescent="0.25">
      <c r="B26" s="5" t="s">
        <v>52</v>
      </c>
      <c r="C26" s="6" t="s">
        <v>0</v>
      </c>
    </row>
    <row r="27" spans="1:10" x14ac:dyDescent="0.25">
      <c r="B27" s="1">
        <v>101</v>
      </c>
      <c r="C27" t="s">
        <v>6</v>
      </c>
      <c r="F27" s="1"/>
    </row>
    <row r="28" spans="1:10" x14ac:dyDescent="0.25">
      <c r="B28" s="1">
        <v>102</v>
      </c>
      <c r="C28" t="s">
        <v>7</v>
      </c>
      <c r="F28" s="1"/>
    </row>
    <row r="29" spans="1:10" x14ac:dyDescent="0.25">
      <c r="B29" s="1">
        <v>103</v>
      </c>
      <c r="C29" t="s">
        <v>8</v>
      </c>
      <c r="F29" s="1"/>
    </row>
    <row r="30" spans="1:10" x14ac:dyDescent="0.25">
      <c r="B30" s="1">
        <v>104</v>
      </c>
      <c r="C30" t="s">
        <v>9</v>
      </c>
      <c r="F30" s="1"/>
    </row>
    <row r="31" spans="1:10" x14ac:dyDescent="0.25">
      <c r="B31" s="1">
        <v>105</v>
      </c>
      <c r="C31" t="s">
        <v>4</v>
      </c>
      <c r="F31" s="1"/>
    </row>
    <row r="32" spans="1:10" x14ac:dyDescent="0.25">
      <c r="B32" s="1">
        <v>106</v>
      </c>
      <c r="C32" t="s">
        <v>5</v>
      </c>
      <c r="F32" s="1"/>
    </row>
    <row r="33" spans="1:6" x14ac:dyDescent="0.25">
      <c r="B33" s="1">
        <v>107</v>
      </c>
      <c r="C33" t="s">
        <v>10</v>
      </c>
      <c r="F33" s="1"/>
    </row>
    <row r="34" spans="1:6" x14ac:dyDescent="0.25">
      <c r="B34" s="1">
        <v>108</v>
      </c>
      <c r="C34" t="s">
        <v>11</v>
      </c>
      <c r="F34" s="1"/>
    </row>
    <row r="35" spans="1:6" x14ac:dyDescent="0.25">
      <c r="B35" s="1">
        <v>109</v>
      </c>
      <c r="C35" t="s">
        <v>12</v>
      </c>
      <c r="F35" s="1"/>
    </row>
    <row r="36" spans="1:6" x14ac:dyDescent="0.25">
      <c r="B36" s="1">
        <v>110</v>
      </c>
      <c r="C36" t="s">
        <v>13</v>
      </c>
      <c r="F36" s="1"/>
    </row>
    <row r="37" spans="1:6" x14ac:dyDescent="0.25">
      <c r="B37" s="1">
        <v>111</v>
      </c>
      <c r="C37" t="s">
        <v>14</v>
      </c>
      <c r="F37" s="1"/>
    </row>
    <row r="38" spans="1:6" x14ac:dyDescent="0.25">
      <c r="B38" s="1">
        <v>112</v>
      </c>
      <c r="C38" t="s">
        <v>15</v>
      </c>
      <c r="F38" s="1"/>
    </row>
    <row r="39" spans="1:6" x14ac:dyDescent="0.25">
      <c r="B39" s="1">
        <v>113</v>
      </c>
      <c r="C39" t="s">
        <v>16</v>
      </c>
      <c r="F39" s="1"/>
    </row>
    <row r="40" spans="1:6" x14ac:dyDescent="0.25">
      <c r="B40" s="1">
        <v>114</v>
      </c>
      <c r="C40" t="s">
        <v>17</v>
      </c>
      <c r="F40" s="1"/>
    </row>
    <row r="41" spans="1:6" x14ac:dyDescent="0.25">
      <c r="B41" s="1">
        <v>115</v>
      </c>
      <c r="C41" t="s">
        <v>18</v>
      </c>
      <c r="F41" s="1"/>
    </row>
    <row r="42" spans="1:6" x14ac:dyDescent="0.25">
      <c r="B42" s="1">
        <v>116</v>
      </c>
      <c r="C42" t="s">
        <v>19</v>
      </c>
      <c r="F42" s="1"/>
    </row>
    <row r="43" spans="1:6" x14ac:dyDescent="0.25">
      <c r="B43" s="1">
        <v>117</v>
      </c>
      <c r="C43" t="s">
        <v>20</v>
      </c>
      <c r="F43" s="1"/>
    </row>
    <row r="44" spans="1:6" x14ac:dyDescent="0.25">
      <c r="B44" s="1">
        <v>118</v>
      </c>
      <c r="C44" t="s">
        <v>21</v>
      </c>
      <c r="F44" s="1"/>
    </row>
    <row r="45" spans="1:6" x14ac:dyDescent="0.25">
      <c r="B45" s="1">
        <v>119</v>
      </c>
      <c r="C45" t="s">
        <v>22</v>
      </c>
      <c r="F45" s="1"/>
    </row>
    <row r="46" spans="1:6" x14ac:dyDescent="0.25">
      <c r="B46" s="1">
        <v>120</v>
      </c>
      <c r="C46" t="s">
        <v>23</v>
      </c>
      <c r="F46" s="1"/>
    </row>
    <row r="47" spans="1:6" x14ac:dyDescent="0.25">
      <c r="A47" s="1"/>
    </row>
    <row r="48" spans="1:6" x14ac:dyDescent="0.25">
      <c r="A48" s="1"/>
    </row>
    <row r="50" spans="1:10" x14ac:dyDescent="0.25">
      <c r="A50" s="4" t="s">
        <v>81</v>
      </c>
      <c r="B50" s="4"/>
      <c r="C50" s="4"/>
      <c r="D50" s="4"/>
      <c r="E50" s="4"/>
      <c r="F50" s="4"/>
      <c r="G50" s="4"/>
      <c r="H50" s="4"/>
      <c r="I50" s="4"/>
      <c r="J50" s="4"/>
    </row>
    <row r="52" spans="1:10" ht="14" x14ac:dyDescent="0.25">
      <c r="B52" s="5" t="s">
        <v>37</v>
      </c>
      <c r="C52" s="6" t="s">
        <v>51</v>
      </c>
    </row>
    <row r="53" spans="1:10" x14ac:dyDescent="0.25">
      <c r="B53">
        <v>1</v>
      </c>
      <c r="C53">
        <v>1.0629200000000001</v>
      </c>
    </row>
    <row r="54" spans="1:10" x14ac:dyDescent="0.25">
      <c r="B54">
        <v>2</v>
      </c>
      <c r="C54">
        <v>1.064889</v>
      </c>
    </row>
    <row r="55" spans="1:10" x14ac:dyDescent="0.25">
      <c r="B55">
        <v>3</v>
      </c>
      <c r="C55">
        <v>1.069491</v>
      </c>
    </row>
    <row r="56" spans="1:10" x14ac:dyDescent="0.25">
      <c r="B56">
        <v>4</v>
      </c>
      <c r="C56">
        <v>1.0708819999999999</v>
      </c>
    </row>
    <row r="57" spans="1:10" x14ac:dyDescent="0.25">
      <c r="B57">
        <v>5</v>
      </c>
      <c r="C57">
        <v>1.106112</v>
      </c>
    </row>
    <row r="58" spans="1:10" x14ac:dyDescent="0.25">
      <c r="B58">
        <v>6</v>
      </c>
      <c r="C58">
        <v>1.1229709999999999</v>
      </c>
    </row>
    <row r="59" spans="1:10" x14ac:dyDescent="0.25">
      <c r="B59">
        <v>7</v>
      </c>
      <c r="C59">
        <v>1.1528700000000001</v>
      </c>
    </row>
    <row r="60" spans="1:10" x14ac:dyDescent="0.25">
      <c r="B60">
        <v>8</v>
      </c>
      <c r="C60">
        <v>1.181608</v>
      </c>
    </row>
    <row r="61" spans="1:10" x14ac:dyDescent="0.25">
      <c r="B61">
        <v>9</v>
      </c>
      <c r="C61">
        <v>1.191249</v>
      </c>
    </row>
    <row r="62" spans="1:10" x14ac:dyDescent="0.25">
      <c r="B62">
        <v>10</v>
      </c>
      <c r="C62">
        <v>1.174939</v>
      </c>
    </row>
    <row r="63" spans="1:10" x14ac:dyDescent="0.25">
      <c r="B63">
        <v>11</v>
      </c>
      <c r="C63">
        <v>1.1745300000000001</v>
      </c>
    </row>
    <row r="64" spans="1:10" x14ac:dyDescent="0.25">
      <c r="B64">
        <v>12</v>
      </c>
      <c r="C64">
        <v>1.19095</v>
      </c>
    </row>
    <row r="68" spans="1:10" x14ac:dyDescent="0.25">
      <c r="A68" s="4"/>
      <c r="B68" s="4"/>
      <c r="C68" s="4"/>
      <c r="D68" s="4"/>
      <c r="E68" s="4"/>
      <c r="F68" s="4"/>
      <c r="G68" s="4"/>
      <c r="H68" s="4"/>
      <c r="I68" s="4"/>
      <c r="J68" s="4"/>
    </row>
  </sheetData>
  <pageMargins left="0.7" right="0.7" top="0.75" bottom="0.75" header="0.3" footer="0.3"/>
  <tableParts count="4">
    <tablePart r:id="rId1"/>
    <tablePart r:id="rId2"/>
    <tablePart r:id="rId3"/>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NewDat"/>
  <dimension ref="A2:I46"/>
  <sheetViews>
    <sheetView workbookViewId="0">
      <selection sqref="A1:XFD1048576"/>
    </sheetView>
  </sheetViews>
  <sheetFormatPr defaultRowHeight="12.5" x14ac:dyDescent="0.25"/>
  <cols>
    <col min="2" max="2" width="13.90625" bestFit="1" customWidth="1"/>
    <col min="3" max="3" width="14.08984375" customWidth="1"/>
    <col min="4" max="4" width="11.1796875" bestFit="1" customWidth="1"/>
  </cols>
  <sheetData>
    <row r="2" spans="2:9" x14ac:dyDescent="0.25">
      <c r="B2" t="s">
        <v>39</v>
      </c>
      <c r="C2" t="s">
        <v>28</v>
      </c>
    </row>
    <row r="4" spans="2:9" x14ac:dyDescent="0.25">
      <c r="B4" t="s">
        <v>2</v>
      </c>
      <c r="C4" t="s">
        <v>40</v>
      </c>
      <c r="D4" t="s">
        <v>107</v>
      </c>
      <c r="E4" t="s">
        <v>49</v>
      </c>
      <c r="F4" t="s">
        <v>52</v>
      </c>
      <c r="G4" t="s">
        <v>43</v>
      </c>
      <c r="H4" t="s">
        <v>41</v>
      </c>
      <c r="I4" t="s">
        <v>42</v>
      </c>
    </row>
    <row r="5" spans="2:9" x14ac:dyDescent="0.25">
      <c r="B5">
        <v>66030</v>
      </c>
      <c r="C5" s="24">
        <v>43377</v>
      </c>
      <c r="D5" t="s">
        <v>108</v>
      </c>
      <c r="E5">
        <v>8010</v>
      </c>
      <c r="F5">
        <v>103</v>
      </c>
      <c r="G5" t="s">
        <v>88</v>
      </c>
      <c r="H5">
        <v>120</v>
      </c>
      <c r="I5">
        <v>1440</v>
      </c>
    </row>
    <row r="6" spans="2:9" x14ac:dyDescent="0.25">
      <c r="B6">
        <v>66030</v>
      </c>
      <c r="C6" s="24">
        <v>43377</v>
      </c>
      <c r="D6" t="s">
        <v>109</v>
      </c>
      <c r="E6">
        <v>8010</v>
      </c>
      <c r="F6">
        <v>104</v>
      </c>
      <c r="H6">
        <v>150</v>
      </c>
      <c r="I6">
        <v>1800</v>
      </c>
    </row>
    <row r="7" spans="2:9" x14ac:dyDescent="0.25">
      <c r="B7">
        <v>66032</v>
      </c>
      <c r="C7" s="24">
        <v>43380</v>
      </c>
      <c r="D7" t="s">
        <v>110</v>
      </c>
      <c r="E7">
        <v>8010</v>
      </c>
      <c r="F7">
        <v>103</v>
      </c>
      <c r="H7">
        <v>170</v>
      </c>
      <c r="I7">
        <v>2040</v>
      </c>
    </row>
    <row r="8" spans="2:9" x14ac:dyDescent="0.25">
      <c r="B8">
        <v>66032</v>
      </c>
      <c r="C8" s="24">
        <v>43380</v>
      </c>
      <c r="D8" t="s">
        <v>111</v>
      </c>
      <c r="E8">
        <v>8010</v>
      </c>
      <c r="F8">
        <v>104</v>
      </c>
      <c r="H8">
        <v>140</v>
      </c>
      <c r="I8">
        <v>1680</v>
      </c>
    </row>
    <row r="9" spans="2:9" x14ac:dyDescent="0.25">
      <c r="B9">
        <v>66031</v>
      </c>
      <c r="C9" s="24">
        <v>43381</v>
      </c>
      <c r="D9" t="s">
        <v>112</v>
      </c>
      <c r="E9">
        <v>8020</v>
      </c>
      <c r="F9">
        <v>103</v>
      </c>
      <c r="G9">
        <v>1</v>
      </c>
      <c r="H9">
        <v>140</v>
      </c>
      <c r="I9">
        <v>1680</v>
      </c>
    </row>
    <row r="10" spans="2:9" x14ac:dyDescent="0.25">
      <c r="B10">
        <v>66031</v>
      </c>
      <c r="C10" s="24">
        <v>43381</v>
      </c>
      <c r="D10" t="s">
        <v>113</v>
      </c>
      <c r="E10">
        <v>8020</v>
      </c>
      <c r="F10">
        <v>104</v>
      </c>
      <c r="H10">
        <v>150</v>
      </c>
      <c r="I10">
        <v>1800</v>
      </c>
    </row>
    <row r="11" spans="2:9" x14ac:dyDescent="0.25">
      <c r="B11">
        <v>66031</v>
      </c>
      <c r="C11" s="24">
        <v>43381</v>
      </c>
      <c r="D11" t="s">
        <v>114</v>
      </c>
      <c r="E11">
        <v>8020</v>
      </c>
      <c r="F11">
        <v>105</v>
      </c>
      <c r="H11">
        <v>100</v>
      </c>
      <c r="I11">
        <v>1000</v>
      </c>
    </row>
    <row r="12" spans="2:9" x14ac:dyDescent="0.25">
      <c r="B12">
        <v>68112</v>
      </c>
      <c r="C12" s="24">
        <v>43384</v>
      </c>
      <c r="D12" t="s">
        <v>115</v>
      </c>
      <c r="E12">
        <v>8010</v>
      </c>
      <c r="F12">
        <v>104</v>
      </c>
      <c r="G12">
        <v>4</v>
      </c>
      <c r="H12">
        <v>180</v>
      </c>
      <c r="I12">
        <v>2160</v>
      </c>
    </row>
    <row r="13" spans="2:9" x14ac:dyDescent="0.25">
      <c r="B13">
        <v>68112</v>
      </c>
      <c r="C13" s="24">
        <v>43384</v>
      </c>
      <c r="D13" t="s">
        <v>110</v>
      </c>
      <c r="E13">
        <v>8010</v>
      </c>
      <c r="F13">
        <v>105</v>
      </c>
      <c r="H13">
        <v>120</v>
      </c>
      <c r="I13">
        <v>1200</v>
      </c>
    </row>
    <row r="14" spans="2:9" x14ac:dyDescent="0.25">
      <c r="B14">
        <v>68116</v>
      </c>
      <c r="C14" s="24">
        <v>43384</v>
      </c>
      <c r="D14" t="s">
        <v>116</v>
      </c>
      <c r="E14">
        <v>8020</v>
      </c>
      <c r="F14">
        <v>104</v>
      </c>
      <c r="H14">
        <v>150</v>
      </c>
      <c r="I14">
        <v>1800</v>
      </c>
    </row>
    <row r="15" spans="2:9" x14ac:dyDescent="0.25">
      <c r="B15">
        <v>68116</v>
      </c>
      <c r="C15" s="24">
        <v>43384</v>
      </c>
      <c r="D15" t="s">
        <v>115</v>
      </c>
      <c r="E15">
        <v>8020</v>
      </c>
      <c r="F15">
        <v>105</v>
      </c>
      <c r="H15">
        <v>190</v>
      </c>
      <c r="I15">
        <v>1900</v>
      </c>
    </row>
    <row r="16" spans="2:9" x14ac:dyDescent="0.25">
      <c r="B16">
        <v>68116</v>
      </c>
      <c r="C16" s="24">
        <v>43384</v>
      </c>
      <c r="D16" t="s">
        <v>112</v>
      </c>
      <c r="E16">
        <v>8020</v>
      </c>
      <c r="F16">
        <v>107</v>
      </c>
      <c r="G16">
        <v>2</v>
      </c>
      <c r="H16">
        <v>160</v>
      </c>
      <c r="I16">
        <v>800</v>
      </c>
    </row>
    <row r="17" spans="1:9" x14ac:dyDescent="0.25">
      <c r="B17">
        <v>68116</v>
      </c>
      <c r="C17" s="24">
        <v>43384</v>
      </c>
      <c r="D17" t="s">
        <v>112</v>
      </c>
      <c r="E17">
        <v>8010</v>
      </c>
      <c r="F17">
        <v>104</v>
      </c>
      <c r="H17">
        <v>160</v>
      </c>
      <c r="I17">
        <v>1920</v>
      </c>
    </row>
    <row r="18" spans="1:9" x14ac:dyDescent="0.25">
      <c r="B18">
        <v>68116</v>
      </c>
      <c r="C18" s="24">
        <v>43384</v>
      </c>
      <c r="D18" t="s">
        <v>108</v>
      </c>
      <c r="E18">
        <v>8010</v>
      </c>
      <c r="F18">
        <v>105</v>
      </c>
      <c r="H18">
        <v>190</v>
      </c>
      <c r="I18">
        <v>1900</v>
      </c>
    </row>
    <row r="19" spans="1:9" x14ac:dyDescent="0.25">
      <c r="B19">
        <v>65662</v>
      </c>
      <c r="C19" s="24">
        <v>43388</v>
      </c>
      <c r="D19" t="s">
        <v>111</v>
      </c>
      <c r="E19">
        <v>8020</v>
      </c>
      <c r="F19">
        <v>103</v>
      </c>
      <c r="H19">
        <v>120</v>
      </c>
      <c r="I19">
        <v>1440</v>
      </c>
    </row>
    <row r="20" spans="1:9" x14ac:dyDescent="0.25">
      <c r="B20">
        <v>65662</v>
      </c>
      <c r="C20" s="24">
        <v>43388</v>
      </c>
      <c r="D20" t="s">
        <v>114</v>
      </c>
      <c r="E20">
        <v>8020</v>
      </c>
      <c r="F20">
        <v>104</v>
      </c>
      <c r="H20">
        <v>110</v>
      </c>
      <c r="I20">
        <v>1320</v>
      </c>
    </row>
    <row r="21" spans="1:9" x14ac:dyDescent="0.25">
      <c r="B21">
        <v>65666</v>
      </c>
      <c r="C21" s="24">
        <v>43388</v>
      </c>
      <c r="D21" t="s">
        <v>111</v>
      </c>
      <c r="E21">
        <v>8010</v>
      </c>
      <c r="F21">
        <v>103</v>
      </c>
      <c r="H21">
        <v>120</v>
      </c>
      <c r="I21">
        <v>1440</v>
      </c>
    </row>
    <row r="22" spans="1:9" x14ac:dyDescent="0.25">
      <c r="B22">
        <v>65666</v>
      </c>
      <c r="C22" s="24">
        <v>43388</v>
      </c>
      <c r="D22" t="s">
        <v>110</v>
      </c>
      <c r="E22">
        <v>8010</v>
      </c>
      <c r="F22">
        <v>104</v>
      </c>
      <c r="H22">
        <v>140</v>
      </c>
      <c r="I22">
        <v>1680</v>
      </c>
    </row>
    <row r="23" spans="1:9" x14ac:dyDescent="0.25">
      <c r="B23">
        <v>65666</v>
      </c>
      <c r="C23" s="24">
        <v>43388</v>
      </c>
      <c r="D23" t="s">
        <v>109</v>
      </c>
      <c r="E23">
        <v>8010</v>
      </c>
      <c r="F23">
        <v>105</v>
      </c>
      <c r="H23">
        <v>160</v>
      </c>
      <c r="I23">
        <v>1600</v>
      </c>
    </row>
    <row r="24" spans="1:9" x14ac:dyDescent="0.25">
      <c r="B24">
        <v>65666</v>
      </c>
      <c r="C24" s="24">
        <v>43388</v>
      </c>
      <c r="D24" t="s">
        <v>116</v>
      </c>
      <c r="E24">
        <v>8020</v>
      </c>
      <c r="F24">
        <v>107</v>
      </c>
      <c r="H24">
        <v>120</v>
      </c>
      <c r="I24">
        <v>600</v>
      </c>
    </row>
    <row r="25" spans="1:9" x14ac:dyDescent="0.25">
      <c r="B25">
        <v>65666</v>
      </c>
      <c r="C25" s="24">
        <v>43388</v>
      </c>
      <c r="D25" t="s">
        <v>111</v>
      </c>
      <c r="E25">
        <v>8020</v>
      </c>
      <c r="F25">
        <v>103</v>
      </c>
      <c r="H25">
        <v>200</v>
      </c>
      <c r="I25">
        <v>2400</v>
      </c>
    </row>
    <row r="26" spans="1:9" x14ac:dyDescent="0.25">
      <c r="A26" s="24"/>
      <c r="B26">
        <v>66015</v>
      </c>
      <c r="C26" s="24">
        <v>43383</v>
      </c>
      <c r="D26" t="s">
        <v>115</v>
      </c>
      <c r="E26">
        <v>8010</v>
      </c>
      <c r="F26">
        <v>103</v>
      </c>
      <c r="H26">
        <v>140</v>
      </c>
      <c r="I26">
        <v>1680</v>
      </c>
    </row>
    <row r="27" spans="1:9" x14ac:dyDescent="0.25">
      <c r="A27" s="24"/>
      <c r="B27">
        <v>66015</v>
      </c>
      <c r="C27" s="24">
        <v>43383</v>
      </c>
      <c r="D27" t="s">
        <v>108</v>
      </c>
      <c r="E27">
        <v>8010</v>
      </c>
      <c r="F27">
        <v>104</v>
      </c>
      <c r="H27">
        <v>140</v>
      </c>
      <c r="I27">
        <v>1680</v>
      </c>
    </row>
    <row r="28" spans="1:9" x14ac:dyDescent="0.25">
      <c r="A28" s="24"/>
      <c r="B28">
        <v>66017</v>
      </c>
      <c r="C28" s="24">
        <v>43386</v>
      </c>
      <c r="D28" t="s">
        <v>108</v>
      </c>
      <c r="E28">
        <v>8010</v>
      </c>
      <c r="F28">
        <v>103</v>
      </c>
      <c r="H28">
        <v>140</v>
      </c>
      <c r="I28">
        <v>1680</v>
      </c>
    </row>
    <row r="29" spans="1:9" x14ac:dyDescent="0.25">
      <c r="A29" s="24"/>
      <c r="B29">
        <v>66017</v>
      </c>
      <c r="C29" s="24">
        <v>43386</v>
      </c>
      <c r="D29" t="s">
        <v>115</v>
      </c>
      <c r="E29">
        <v>8010</v>
      </c>
      <c r="F29">
        <v>104</v>
      </c>
      <c r="H29">
        <v>140</v>
      </c>
      <c r="I29">
        <v>1680</v>
      </c>
    </row>
    <row r="30" spans="1:9" x14ac:dyDescent="0.25">
      <c r="A30" s="24"/>
      <c r="B30">
        <v>66016</v>
      </c>
      <c r="C30" s="24">
        <v>43387</v>
      </c>
      <c r="D30" t="s">
        <v>117</v>
      </c>
      <c r="E30">
        <v>8020</v>
      </c>
      <c r="F30">
        <v>103</v>
      </c>
      <c r="H30">
        <v>120</v>
      </c>
      <c r="I30">
        <v>1440</v>
      </c>
    </row>
    <row r="31" spans="1:9" x14ac:dyDescent="0.25">
      <c r="A31" s="24"/>
      <c r="B31">
        <v>66016</v>
      </c>
      <c r="C31" s="24">
        <v>43387</v>
      </c>
      <c r="D31" t="s">
        <v>117</v>
      </c>
      <c r="E31">
        <v>8020</v>
      </c>
      <c r="F31">
        <v>104</v>
      </c>
      <c r="H31">
        <v>130</v>
      </c>
      <c r="I31">
        <v>1560</v>
      </c>
    </row>
    <row r="32" spans="1:9" x14ac:dyDescent="0.25">
      <c r="A32" s="24"/>
      <c r="B32">
        <v>66016</v>
      </c>
      <c r="C32" s="24">
        <v>43387</v>
      </c>
      <c r="D32" t="s">
        <v>112</v>
      </c>
      <c r="E32">
        <v>8020</v>
      </c>
      <c r="F32">
        <v>105</v>
      </c>
      <c r="H32">
        <v>120</v>
      </c>
      <c r="I32">
        <v>1200</v>
      </c>
    </row>
    <row r="33" spans="1:9" x14ac:dyDescent="0.25">
      <c r="A33" s="24"/>
      <c r="B33">
        <v>68097</v>
      </c>
      <c r="C33" s="24">
        <v>43390</v>
      </c>
      <c r="D33" t="s">
        <v>114</v>
      </c>
      <c r="E33">
        <v>8010</v>
      </c>
      <c r="F33">
        <v>104</v>
      </c>
      <c r="H33">
        <v>140</v>
      </c>
      <c r="I33">
        <v>1680</v>
      </c>
    </row>
    <row r="34" spans="1:9" x14ac:dyDescent="0.25">
      <c r="A34" s="24"/>
      <c r="B34">
        <v>68097</v>
      </c>
      <c r="C34" s="24">
        <v>43390</v>
      </c>
      <c r="D34" t="s">
        <v>112</v>
      </c>
      <c r="E34">
        <v>8010</v>
      </c>
      <c r="F34">
        <v>105</v>
      </c>
      <c r="H34">
        <v>130</v>
      </c>
      <c r="I34">
        <v>1300</v>
      </c>
    </row>
    <row r="35" spans="1:9" x14ac:dyDescent="0.25">
      <c r="A35" s="24"/>
      <c r="B35">
        <v>68099</v>
      </c>
      <c r="C35" s="24">
        <v>43390</v>
      </c>
      <c r="D35" t="s">
        <v>111</v>
      </c>
      <c r="E35">
        <v>8020</v>
      </c>
      <c r="F35">
        <v>104</v>
      </c>
      <c r="H35">
        <v>120</v>
      </c>
      <c r="I35">
        <v>1440</v>
      </c>
    </row>
    <row r="36" spans="1:9" x14ac:dyDescent="0.25">
      <c r="A36" s="24"/>
      <c r="B36">
        <v>68099</v>
      </c>
      <c r="C36" s="24">
        <v>43390</v>
      </c>
      <c r="D36" t="s">
        <v>112</v>
      </c>
      <c r="E36">
        <v>8020</v>
      </c>
      <c r="F36">
        <v>105</v>
      </c>
      <c r="G36">
        <v>2</v>
      </c>
      <c r="H36">
        <v>140</v>
      </c>
      <c r="I36">
        <v>1400</v>
      </c>
    </row>
    <row r="37" spans="1:9" x14ac:dyDescent="0.25">
      <c r="A37" s="24"/>
      <c r="B37">
        <v>68099</v>
      </c>
      <c r="C37" s="24">
        <v>43390</v>
      </c>
      <c r="D37" t="s">
        <v>114</v>
      </c>
      <c r="E37">
        <v>8020</v>
      </c>
      <c r="F37">
        <v>107</v>
      </c>
      <c r="H37">
        <v>170</v>
      </c>
      <c r="I37">
        <v>850</v>
      </c>
    </row>
    <row r="38" spans="1:9" x14ac:dyDescent="0.25">
      <c r="A38" s="24"/>
      <c r="B38">
        <v>68101</v>
      </c>
      <c r="C38" s="24">
        <v>43390</v>
      </c>
      <c r="D38" t="s">
        <v>117</v>
      </c>
      <c r="E38">
        <v>8010</v>
      </c>
      <c r="F38">
        <v>104</v>
      </c>
      <c r="H38">
        <v>190</v>
      </c>
      <c r="I38">
        <v>2280</v>
      </c>
    </row>
    <row r="39" spans="1:9" x14ac:dyDescent="0.25">
      <c r="A39" s="24"/>
      <c r="B39">
        <v>68101</v>
      </c>
      <c r="C39" s="24">
        <v>43390</v>
      </c>
      <c r="D39" t="s">
        <v>118</v>
      </c>
      <c r="E39">
        <v>8010</v>
      </c>
      <c r="F39">
        <v>105</v>
      </c>
      <c r="H39">
        <v>140</v>
      </c>
      <c r="I39">
        <v>1400</v>
      </c>
    </row>
    <row r="40" spans="1:9" x14ac:dyDescent="0.25">
      <c r="A40" s="24"/>
      <c r="B40">
        <v>65627</v>
      </c>
      <c r="C40" s="24">
        <v>43394</v>
      </c>
      <c r="D40" t="s">
        <v>111</v>
      </c>
      <c r="E40">
        <v>8020</v>
      </c>
      <c r="F40">
        <v>103</v>
      </c>
      <c r="H40">
        <v>140</v>
      </c>
      <c r="I40">
        <v>1680</v>
      </c>
    </row>
    <row r="41" spans="1:9" x14ac:dyDescent="0.25">
      <c r="A41" s="24"/>
      <c r="B41">
        <v>65627</v>
      </c>
      <c r="C41" s="24">
        <v>43394</v>
      </c>
      <c r="D41" t="s">
        <v>118</v>
      </c>
      <c r="E41">
        <v>8020</v>
      </c>
      <c r="F41">
        <v>104</v>
      </c>
      <c r="G41">
        <v>3</v>
      </c>
      <c r="H41">
        <v>160</v>
      </c>
      <c r="I41">
        <v>1920</v>
      </c>
    </row>
    <row r="42" spans="1:9" x14ac:dyDescent="0.25">
      <c r="A42" s="24"/>
      <c r="B42">
        <v>65629</v>
      </c>
      <c r="C42" s="24">
        <v>43394</v>
      </c>
      <c r="D42" t="s">
        <v>112</v>
      </c>
      <c r="E42">
        <v>8010</v>
      </c>
      <c r="F42">
        <v>103</v>
      </c>
      <c r="H42">
        <v>190</v>
      </c>
      <c r="I42">
        <v>2280</v>
      </c>
    </row>
    <row r="43" spans="1:9" x14ac:dyDescent="0.25">
      <c r="A43" s="24"/>
      <c r="B43">
        <v>65629</v>
      </c>
      <c r="C43" s="24">
        <v>43394</v>
      </c>
      <c r="D43" t="s">
        <v>118</v>
      </c>
      <c r="E43">
        <v>8010</v>
      </c>
      <c r="F43">
        <v>104</v>
      </c>
      <c r="H43">
        <v>130</v>
      </c>
      <c r="I43">
        <v>1560</v>
      </c>
    </row>
    <row r="44" spans="1:9" x14ac:dyDescent="0.25">
      <c r="A44" s="24"/>
      <c r="B44">
        <v>65629</v>
      </c>
      <c r="C44" s="24">
        <v>43394</v>
      </c>
      <c r="D44" t="s">
        <v>114</v>
      </c>
      <c r="E44">
        <v>8010</v>
      </c>
      <c r="F44">
        <v>105</v>
      </c>
      <c r="H44">
        <v>140</v>
      </c>
      <c r="I44">
        <v>1400</v>
      </c>
    </row>
    <row r="45" spans="1:9" x14ac:dyDescent="0.25">
      <c r="A45" s="24"/>
      <c r="B45">
        <v>65631</v>
      </c>
      <c r="C45" s="24">
        <v>43394</v>
      </c>
      <c r="D45" t="s">
        <v>108</v>
      </c>
      <c r="E45">
        <v>8020</v>
      </c>
      <c r="F45">
        <v>107</v>
      </c>
      <c r="H45">
        <v>190</v>
      </c>
      <c r="I45">
        <v>950</v>
      </c>
    </row>
    <row r="46" spans="1:9" x14ac:dyDescent="0.25">
      <c r="A46" s="24"/>
      <c r="B46">
        <v>65631</v>
      </c>
      <c r="C46" s="24">
        <v>43394</v>
      </c>
      <c r="D46" t="s">
        <v>113</v>
      </c>
      <c r="E46">
        <v>8020</v>
      </c>
      <c r="F46">
        <v>103</v>
      </c>
      <c r="H46">
        <v>120</v>
      </c>
      <c r="I46">
        <v>1440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P55"/>
  <sheetViews>
    <sheetView workbookViewId="0">
      <selection activeCell="H44" sqref="H44"/>
    </sheetView>
  </sheetViews>
  <sheetFormatPr defaultColWidth="0" defaultRowHeight="12.5" zeroHeight="1" x14ac:dyDescent="0.25"/>
  <cols>
    <col min="1" max="1" width="1.36328125" style="14" customWidth="1"/>
    <col min="2" max="2" width="3.08984375" style="14" customWidth="1"/>
    <col min="3" max="13" width="9.08984375" style="14" customWidth="1"/>
    <col min="14" max="14" width="12.6328125" style="14" customWidth="1"/>
    <col min="15" max="15" width="2.26953125" style="14" customWidth="1"/>
    <col min="16" max="16" width="2.6328125" style="14" customWidth="1"/>
    <col min="17" max="16384" width="9" hidden="1"/>
  </cols>
  <sheetData>
    <row r="1" spans="1:16" x14ac:dyDescent="0.25">
      <c r="A1" s="9"/>
      <c r="B1" s="9"/>
      <c r="C1" s="9"/>
      <c r="D1" s="9"/>
      <c r="E1" s="9"/>
      <c r="F1" s="9"/>
      <c r="G1" s="9"/>
      <c r="H1" s="9"/>
      <c r="I1" s="9"/>
      <c r="J1" s="9"/>
      <c r="K1" s="9"/>
      <c r="L1" s="9"/>
      <c r="M1" s="9"/>
      <c r="N1" s="9"/>
      <c r="O1" s="9"/>
      <c r="P1" s="9"/>
    </row>
    <row r="2" spans="1:16" x14ac:dyDescent="0.25">
      <c r="A2" s="9"/>
      <c r="B2" s="9"/>
      <c r="C2" s="9"/>
      <c r="D2" s="9"/>
      <c r="E2" s="9"/>
      <c r="F2" s="9"/>
      <c r="G2" s="9"/>
      <c r="H2" s="9"/>
      <c r="I2" s="9"/>
      <c r="J2" s="9"/>
      <c r="K2" s="9"/>
      <c r="L2" s="9"/>
      <c r="M2" s="9"/>
      <c r="N2" s="9"/>
      <c r="O2" s="9"/>
      <c r="P2" s="9"/>
    </row>
    <row r="3" spans="1:16" x14ac:dyDescent="0.25">
      <c r="A3" s="9"/>
      <c r="B3" s="9"/>
      <c r="C3" s="9"/>
      <c r="D3" s="9"/>
      <c r="E3" s="9"/>
      <c r="F3" s="9"/>
      <c r="G3" s="9"/>
      <c r="H3" s="9"/>
      <c r="I3" s="9"/>
      <c r="J3" s="9"/>
      <c r="K3" s="9"/>
      <c r="L3" s="9"/>
      <c r="M3" s="9"/>
      <c r="N3" s="9"/>
      <c r="O3" s="9"/>
      <c r="P3" s="9"/>
    </row>
    <row r="4" spans="1:16" x14ac:dyDescent="0.25">
      <c r="A4" s="9"/>
      <c r="B4" s="10"/>
      <c r="C4" s="10"/>
      <c r="D4" s="10"/>
      <c r="E4" s="10"/>
      <c r="F4" s="10"/>
      <c r="G4" s="10"/>
      <c r="H4" s="10"/>
      <c r="I4" s="10"/>
      <c r="J4" s="10"/>
      <c r="K4" s="10"/>
      <c r="L4" s="10"/>
      <c r="M4" s="10"/>
      <c r="N4" s="10"/>
      <c r="O4" s="9"/>
      <c r="P4" s="9"/>
    </row>
    <row r="5" spans="1:16" ht="18" x14ac:dyDescent="0.4">
      <c r="A5" s="9"/>
      <c r="B5" s="11"/>
      <c r="C5" s="12" t="s">
        <v>71</v>
      </c>
      <c r="D5" s="13"/>
      <c r="E5" s="13"/>
      <c r="F5" s="13"/>
      <c r="G5" s="13"/>
      <c r="H5" s="13"/>
      <c r="I5" s="13"/>
      <c r="J5" s="13"/>
      <c r="K5" s="13"/>
      <c r="L5" s="13"/>
      <c r="M5" s="13"/>
      <c r="N5" s="13"/>
      <c r="O5" s="9"/>
      <c r="P5" s="9"/>
    </row>
    <row r="6" spans="1:16" x14ac:dyDescent="0.25">
      <c r="A6" s="9"/>
      <c r="B6" s="13"/>
      <c r="C6" s="13"/>
      <c r="D6" s="13"/>
      <c r="E6" s="13"/>
      <c r="F6" s="13"/>
      <c r="G6" s="13"/>
      <c r="H6" s="13"/>
      <c r="I6" s="13"/>
      <c r="J6" s="13"/>
      <c r="K6" s="13"/>
      <c r="L6" s="13"/>
      <c r="M6" s="13"/>
      <c r="N6" s="13"/>
      <c r="O6" s="9"/>
      <c r="P6" s="9"/>
    </row>
    <row r="7" spans="1:16" x14ac:dyDescent="0.25">
      <c r="A7" s="9"/>
      <c r="B7" s="13"/>
      <c r="C7" s="17" t="s">
        <v>77</v>
      </c>
      <c r="D7" s="13"/>
      <c r="E7" s="13"/>
      <c r="F7" s="13"/>
      <c r="G7" s="13"/>
      <c r="H7" s="13"/>
      <c r="I7" s="13"/>
      <c r="J7" s="13"/>
      <c r="K7" s="13"/>
      <c r="L7" s="13"/>
      <c r="M7" s="13"/>
      <c r="N7" s="13"/>
      <c r="O7" s="9"/>
      <c r="P7" s="9"/>
    </row>
    <row r="8" spans="1:16" x14ac:dyDescent="0.25">
      <c r="A8" s="9"/>
      <c r="B8" s="13"/>
      <c r="C8" s="17" t="s">
        <v>78</v>
      </c>
      <c r="D8" s="13"/>
      <c r="E8" s="13"/>
      <c r="F8" s="13"/>
      <c r="G8" s="13"/>
      <c r="H8" s="13"/>
      <c r="I8" s="13"/>
      <c r="J8" s="13"/>
      <c r="K8" s="13"/>
      <c r="L8" s="13"/>
      <c r="M8" s="13"/>
      <c r="N8" s="13"/>
      <c r="O8" s="9"/>
      <c r="P8" s="9"/>
    </row>
    <row r="9" spans="1:16" x14ac:dyDescent="0.25">
      <c r="A9" s="9"/>
      <c r="B9" s="13"/>
      <c r="C9" s="17" t="s">
        <v>79</v>
      </c>
      <c r="D9" s="13"/>
      <c r="E9" s="13"/>
      <c r="F9" s="13"/>
      <c r="G9" s="13"/>
      <c r="H9" s="13"/>
      <c r="I9" s="13"/>
      <c r="J9" s="13"/>
      <c r="K9" s="13"/>
      <c r="L9" s="13"/>
      <c r="M9" s="13"/>
      <c r="N9" s="13"/>
      <c r="O9" s="9"/>
      <c r="P9" s="9"/>
    </row>
    <row r="10" spans="1:16" x14ac:dyDescent="0.25">
      <c r="A10" s="9"/>
      <c r="B10" s="13"/>
      <c r="C10" s="17" t="s">
        <v>84</v>
      </c>
      <c r="D10" s="13"/>
      <c r="E10" s="13"/>
      <c r="F10" s="13"/>
      <c r="G10" s="13"/>
      <c r="H10" s="13"/>
      <c r="I10" s="13"/>
      <c r="J10" s="13"/>
      <c r="K10" s="13"/>
      <c r="L10" s="13"/>
      <c r="M10" s="13"/>
      <c r="N10" s="13"/>
      <c r="O10" s="9"/>
      <c r="P10" s="9"/>
    </row>
    <row r="11" spans="1:16" x14ac:dyDescent="0.25">
      <c r="A11" s="9"/>
      <c r="B11" s="13"/>
      <c r="C11" s="20" t="s">
        <v>62</v>
      </c>
      <c r="D11" s="13"/>
      <c r="E11" s="13"/>
      <c r="F11" s="13"/>
      <c r="G11" s="13"/>
      <c r="H11" s="13"/>
      <c r="I11" s="13"/>
      <c r="J11" s="13"/>
      <c r="K11" s="13"/>
      <c r="L11" s="13"/>
      <c r="M11" s="13"/>
      <c r="N11" s="13"/>
      <c r="O11" s="9"/>
      <c r="P11" s="9"/>
    </row>
    <row r="12" spans="1:16" x14ac:dyDescent="0.25">
      <c r="A12" s="9"/>
      <c r="B12" s="13"/>
      <c r="C12" s="20" t="s">
        <v>82</v>
      </c>
      <c r="D12" s="13"/>
      <c r="E12" s="13"/>
      <c r="F12" s="13"/>
      <c r="G12" s="13"/>
      <c r="H12" s="13"/>
      <c r="I12" s="13"/>
      <c r="J12" s="13"/>
      <c r="K12" s="13"/>
      <c r="L12" s="13"/>
      <c r="M12" s="13"/>
      <c r="N12" s="13"/>
      <c r="O12" s="9"/>
      <c r="P12" s="9"/>
    </row>
    <row r="13" spans="1:16" x14ac:dyDescent="0.25">
      <c r="A13" s="9"/>
      <c r="B13" s="13"/>
      <c r="C13" s="17" t="s">
        <v>83</v>
      </c>
      <c r="D13" s="13"/>
      <c r="E13" s="13"/>
      <c r="F13" s="13"/>
      <c r="G13" s="13"/>
      <c r="H13" s="13"/>
      <c r="I13" s="13"/>
      <c r="J13" s="13"/>
      <c r="K13" s="13"/>
      <c r="L13" s="13"/>
      <c r="M13" s="13"/>
      <c r="N13" s="13"/>
      <c r="O13" s="9"/>
      <c r="P13" s="9"/>
    </row>
    <row r="14" spans="1:16" x14ac:dyDescent="0.25">
      <c r="A14" s="9"/>
      <c r="B14" s="13"/>
      <c r="C14" s="13"/>
      <c r="D14" s="13"/>
      <c r="E14" s="13"/>
      <c r="F14" s="13"/>
      <c r="G14" s="13"/>
      <c r="H14" s="13"/>
      <c r="I14" s="13"/>
      <c r="J14" s="13"/>
      <c r="K14" s="13"/>
      <c r="L14" s="13"/>
      <c r="M14" s="13"/>
      <c r="N14" s="13"/>
      <c r="O14" s="9"/>
      <c r="P14" s="9"/>
    </row>
    <row r="15" spans="1:16" ht="18" x14ac:dyDescent="0.4">
      <c r="A15" s="9"/>
      <c r="B15" s="13"/>
      <c r="C15" s="12" t="s">
        <v>57</v>
      </c>
      <c r="D15" s="13"/>
      <c r="E15" s="13"/>
      <c r="F15" s="13"/>
      <c r="G15" s="13"/>
      <c r="H15" s="13"/>
      <c r="I15" s="13"/>
      <c r="J15" s="13"/>
      <c r="K15" s="13"/>
      <c r="L15" s="13"/>
      <c r="M15" s="13"/>
      <c r="N15" s="13"/>
      <c r="O15" s="9"/>
      <c r="P15" s="9"/>
    </row>
    <row r="16" spans="1:16" x14ac:dyDescent="0.25">
      <c r="A16" s="9"/>
      <c r="B16" s="13"/>
      <c r="C16" s="13"/>
      <c r="D16" s="13"/>
      <c r="E16" s="13"/>
      <c r="F16" s="13"/>
      <c r="G16" s="13"/>
      <c r="H16" s="13"/>
      <c r="I16" s="13"/>
      <c r="J16" s="13"/>
      <c r="K16" s="13"/>
      <c r="L16" s="13"/>
      <c r="M16" s="13"/>
      <c r="N16" s="13"/>
      <c r="O16" s="9"/>
      <c r="P16" s="9"/>
    </row>
    <row r="17" spans="1:16" x14ac:dyDescent="0.25">
      <c r="A17" s="9"/>
      <c r="B17" s="13"/>
      <c r="C17" s="13" t="s">
        <v>80</v>
      </c>
      <c r="D17" s="13"/>
      <c r="E17" s="13"/>
      <c r="F17" s="13"/>
      <c r="G17" s="13"/>
      <c r="H17" s="13"/>
      <c r="I17" s="13"/>
      <c r="J17" s="13"/>
      <c r="K17" s="13"/>
      <c r="L17" s="13"/>
      <c r="M17" s="13"/>
      <c r="N17" s="13"/>
      <c r="O17" s="9"/>
      <c r="P17" s="9"/>
    </row>
    <row r="18" spans="1:16" x14ac:dyDescent="0.25">
      <c r="A18" s="9"/>
      <c r="B18" s="15"/>
      <c r="C18" s="13" t="s">
        <v>63</v>
      </c>
      <c r="D18" s="15"/>
      <c r="E18" s="15"/>
      <c r="F18" s="15"/>
      <c r="G18" s="13"/>
      <c r="H18" s="13"/>
      <c r="I18" s="13"/>
      <c r="J18" s="13"/>
      <c r="K18" s="13"/>
      <c r="L18" s="13"/>
      <c r="M18" s="13"/>
      <c r="N18" s="13"/>
      <c r="O18" s="9"/>
      <c r="P18" s="9"/>
    </row>
    <row r="19" spans="1:16" x14ac:dyDescent="0.25">
      <c r="A19" s="9"/>
      <c r="B19" s="10"/>
      <c r="C19" s="13" t="s">
        <v>64</v>
      </c>
      <c r="D19" s="16"/>
      <c r="E19" s="10"/>
      <c r="F19" s="10"/>
      <c r="G19" s="13"/>
      <c r="H19" s="13"/>
      <c r="I19" s="13"/>
      <c r="J19" s="13"/>
      <c r="K19" s="13"/>
      <c r="L19" s="13"/>
      <c r="M19" s="13"/>
      <c r="N19" s="13"/>
      <c r="O19" s="9"/>
      <c r="P19" s="9"/>
    </row>
    <row r="20" spans="1:16" x14ac:dyDescent="0.25">
      <c r="A20" s="9"/>
      <c r="B20" s="13"/>
      <c r="C20" s="13" t="s">
        <v>68</v>
      </c>
      <c r="D20" s="17"/>
      <c r="E20" s="13"/>
      <c r="F20" s="13"/>
      <c r="G20" s="13"/>
      <c r="H20" s="13"/>
      <c r="I20" s="13"/>
      <c r="J20" s="13"/>
      <c r="K20" s="13"/>
      <c r="L20" s="13"/>
      <c r="M20" s="13"/>
      <c r="N20" s="13"/>
      <c r="O20" s="9"/>
      <c r="P20" s="9"/>
    </row>
    <row r="21" spans="1:16" x14ac:dyDescent="0.25">
      <c r="A21" s="9"/>
      <c r="B21" s="13"/>
      <c r="C21" s="13" t="s">
        <v>67</v>
      </c>
      <c r="D21" s="13"/>
      <c r="E21" s="13"/>
      <c r="F21" s="13"/>
      <c r="G21" s="13"/>
      <c r="H21" s="13"/>
      <c r="I21" s="13"/>
      <c r="J21" s="13"/>
      <c r="K21" s="13"/>
      <c r="L21" s="13"/>
      <c r="M21" s="13"/>
      <c r="N21" s="13"/>
      <c r="O21" s="9"/>
      <c r="P21" s="9"/>
    </row>
    <row r="22" spans="1:16" x14ac:dyDescent="0.25">
      <c r="A22" s="9"/>
      <c r="B22" s="13"/>
      <c r="C22" s="13" t="s">
        <v>65</v>
      </c>
      <c r="D22" s="13"/>
      <c r="E22" s="13"/>
      <c r="F22" s="13"/>
      <c r="G22" s="13"/>
      <c r="H22" s="13"/>
      <c r="I22" s="13"/>
      <c r="J22" s="13"/>
      <c r="K22" s="13"/>
      <c r="L22" s="13"/>
      <c r="M22" s="13"/>
      <c r="N22" s="13"/>
      <c r="O22" s="9"/>
      <c r="P22" s="9"/>
    </row>
    <row r="23" spans="1:16" x14ac:dyDescent="0.25">
      <c r="A23" s="9"/>
      <c r="B23" s="13"/>
      <c r="C23" s="13" t="s">
        <v>66</v>
      </c>
      <c r="D23" s="13"/>
      <c r="E23" s="13"/>
      <c r="F23" s="13"/>
      <c r="G23" s="13"/>
      <c r="H23" s="13"/>
      <c r="I23" s="13"/>
      <c r="J23" s="13"/>
      <c r="K23" s="13"/>
      <c r="L23" s="13"/>
      <c r="M23" s="13"/>
      <c r="N23" s="13"/>
      <c r="O23" s="9"/>
      <c r="P23" s="9"/>
    </row>
    <row r="24" spans="1:16" x14ac:dyDescent="0.25">
      <c r="A24" s="9"/>
      <c r="B24" s="13"/>
      <c r="C24" s="13" t="s">
        <v>69</v>
      </c>
      <c r="D24" s="17"/>
      <c r="E24" s="13"/>
      <c r="F24" s="13"/>
      <c r="G24" s="13"/>
      <c r="H24" s="13"/>
      <c r="I24" s="13"/>
      <c r="J24" s="13"/>
      <c r="K24" s="13"/>
      <c r="L24" s="13"/>
      <c r="M24" s="13"/>
      <c r="N24" s="13"/>
      <c r="O24" s="9"/>
      <c r="P24" s="9"/>
    </row>
    <row r="25" spans="1:16" x14ac:dyDescent="0.25">
      <c r="A25" s="9"/>
      <c r="B25" s="13"/>
      <c r="C25" s="19" t="s">
        <v>70</v>
      </c>
      <c r="D25" s="17"/>
      <c r="E25" s="13"/>
      <c r="F25" s="13"/>
      <c r="G25" s="13"/>
      <c r="H25" s="13"/>
      <c r="I25" s="13"/>
      <c r="J25" s="13"/>
      <c r="K25" s="13"/>
      <c r="L25" s="13"/>
      <c r="M25" s="13"/>
      <c r="N25" s="13"/>
      <c r="O25" s="9"/>
      <c r="P25" s="9"/>
    </row>
    <row r="26" spans="1:16" x14ac:dyDescent="0.25">
      <c r="A26" s="9"/>
      <c r="B26" s="13"/>
      <c r="C26" s="13"/>
      <c r="D26" s="13"/>
      <c r="E26" s="13"/>
      <c r="F26" s="13"/>
      <c r="G26" s="13"/>
      <c r="H26" s="13"/>
      <c r="I26" s="13"/>
      <c r="J26" s="13"/>
      <c r="K26" s="13"/>
      <c r="L26" s="13"/>
      <c r="M26" s="13"/>
      <c r="N26" s="13"/>
      <c r="O26" s="9"/>
      <c r="P26" s="9"/>
    </row>
    <row r="27" spans="1:16" x14ac:dyDescent="0.25">
      <c r="A27" s="9"/>
      <c r="B27" s="13"/>
      <c r="C27" s="13"/>
      <c r="D27" s="13"/>
      <c r="E27" s="13"/>
      <c r="F27" s="13"/>
      <c r="G27" s="13"/>
      <c r="H27" s="13"/>
      <c r="I27" s="13"/>
      <c r="J27" s="13"/>
      <c r="K27" s="13"/>
      <c r="L27" s="13"/>
      <c r="M27" s="13"/>
      <c r="N27" s="13"/>
      <c r="O27" s="9"/>
      <c r="P27" s="9"/>
    </row>
    <row r="28" spans="1:16" ht="18" x14ac:dyDescent="0.4">
      <c r="A28" s="9"/>
      <c r="B28" s="13"/>
      <c r="C28" s="12" t="s">
        <v>56</v>
      </c>
      <c r="D28" s="13"/>
      <c r="E28" s="13"/>
      <c r="F28" s="13"/>
      <c r="G28" s="13"/>
      <c r="H28" s="13"/>
      <c r="I28" s="13"/>
      <c r="J28" s="13"/>
      <c r="K28" s="13"/>
      <c r="L28" s="13"/>
      <c r="M28" s="13"/>
      <c r="N28" s="13"/>
      <c r="O28" s="9"/>
      <c r="P28" s="9"/>
    </row>
    <row r="29" spans="1:16" x14ac:dyDescent="0.25">
      <c r="A29" s="9"/>
      <c r="B29" s="13"/>
      <c r="C29" s="13"/>
      <c r="D29" s="13"/>
      <c r="E29" s="13"/>
      <c r="F29" s="13"/>
      <c r="G29" s="13"/>
      <c r="H29" s="13"/>
      <c r="I29" s="13"/>
      <c r="J29" s="13"/>
      <c r="K29" s="13"/>
      <c r="L29" s="13"/>
      <c r="M29" s="13"/>
      <c r="N29" s="13"/>
      <c r="O29" s="9"/>
      <c r="P29" s="9"/>
    </row>
    <row r="30" spans="1:16" x14ac:dyDescent="0.25">
      <c r="A30" s="9"/>
      <c r="B30" s="13"/>
      <c r="C30" s="13" t="s">
        <v>72</v>
      </c>
      <c r="D30" s="13"/>
      <c r="E30" s="13"/>
      <c r="F30" s="13"/>
      <c r="G30" s="13"/>
      <c r="H30" s="13"/>
      <c r="I30" s="13"/>
      <c r="J30" s="13"/>
      <c r="K30" s="13"/>
      <c r="L30" s="13"/>
      <c r="M30" s="13"/>
      <c r="N30" s="13"/>
      <c r="O30" s="9"/>
      <c r="P30" s="9"/>
    </row>
    <row r="31" spans="1:16" x14ac:dyDescent="0.25">
      <c r="A31" s="9"/>
      <c r="B31" s="13"/>
      <c r="C31" s="13" t="s">
        <v>86</v>
      </c>
      <c r="D31" s="13"/>
      <c r="E31" s="13"/>
      <c r="F31" s="13"/>
      <c r="G31" s="13"/>
      <c r="H31" s="13"/>
      <c r="I31" s="13"/>
      <c r="J31" s="13"/>
      <c r="K31" s="13"/>
      <c r="L31" s="13"/>
      <c r="M31" s="13"/>
      <c r="N31" s="13"/>
      <c r="O31" s="9"/>
      <c r="P31" s="9"/>
    </row>
    <row r="32" spans="1:16" x14ac:dyDescent="0.25">
      <c r="A32" s="9"/>
      <c r="B32" s="13"/>
      <c r="C32" s="14" t="s">
        <v>87</v>
      </c>
      <c r="D32" s="13"/>
      <c r="E32" s="13"/>
      <c r="F32" s="13"/>
      <c r="G32" s="13"/>
      <c r="H32" s="13"/>
      <c r="I32" s="13"/>
      <c r="J32" s="13"/>
      <c r="K32" s="13"/>
      <c r="L32" s="13"/>
      <c r="M32" s="13"/>
      <c r="N32" s="13"/>
      <c r="O32" s="9"/>
      <c r="P32" s="9"/>
    </row>
    <row r="33" spans="1:16" x14ac:dyDescent="0.25">
      <c r="A33" s="9"/>
      <c r="B33" s="13"/>
      <c r="C33" s="13" t="s">
        <v>74</v>
      </c>
      <c r="D33" s="13"/>
      <c r="E33" s="13"/>
      <c r="F33" s="13"/>
      <c r="G33" s="13"/>
      <c r="H33" s="13"/>
      <c r="I33" s="13"/>
      <c r="J33" s="13"/>
      <c r="K33" s="13"/>
      <c r="L33" s="13"/>
      <c r="M33" s="13"/>
      <c r="N33" s="13"/>
      <c r="O33" s="9"/>
      <c r="P33" s="9"/>
    </row>
    <row r="34" spans="1:16" x14ac:dyDescent="0.25">
      <c r="A34" s="9"/>
      <c r="B34" s="13"/>
      <c r="D34" s="13"/>
      <c r="E34" s="13"/>
      <c r="F34" s="13"/>
      <c r="G34" s="13"/>
      <c r="H34" s="13"/>
      <c r="I34" s="13"/>
      <c r="J34" s="13"/>
      <c r="K34" s="13"/>
      <c r="L34" s="13"/>
      <c r="M34" s="13"/>
      <c r="N34" s="13"/>
      <c r="O34" s="9"/>
      <c r="P34" s="9"/>
    </row>
    <row r="35" spans="1:16" x14ac:dyDescent="0.25">
      <c r="A35" s="9"/>
      <c r="B35" s="13"/>
      <c r="C35" s="15"/>
      <c r="D35" s="13"/>
      <c r="E35" s="13"/>
      <c r="F35" s="13"/>
      <c r="G35" s="13"/>
      <c r="H35" s="13"/>
      <c r="I35" s="13"/>
      <c r="J35" s="13"/>
      <c r="K35" s="13"/>
      <c r="L35" s="13"/>
      <c r="M35" s="13"/>
      <c r="N35" s="13"/>
      <c r="O35" s="9"/>
      <c r="P35" s="9"/>
    </row>
    <row r="36" spans="1:16" x14ac:dyDescent="0.25">
      <c r="A36" s="9"/>
      <c r="B36" s="13"/>
      <c r="C36" s="21" t="s">
        <v>73</v>
      </c>
      <c r="D36" s="17"/>
      <c r="E36" s="13"/>
      <c r="F36" s="13"/>
      <c r="G36" s="13"/>
      <c r="H36" s="13"/>
      <c r="I36" s="13"/>
      <c r="J36" s="13"/>
      <c r="K36" s="13"/>
      <c r="L36" s="13"/>
      <c r="M36" s="13"/>
      <c r="N36" s="13"/>
      <c r="O36" s="9"/>
      <c r="P36" s="9"/>
    </row>
    <row r="37" spans="1:16" x14ac:dyDescent="0.25">
      <c r="A37" s="9"/>
      <c r="B37" s="13"/>
      <c r="C37" s="13"/>
      <c r="D37" s="17"/>
      <c r="E37" s="13"/>
      <c r="F37" s="13"/>
      <c r="G37" s="13"/>
      <c r="H37" s="13"/>
      <c r="I37" s="13"/>
      <c r="J37" s="13"/>
      <c r="K37" s="13"/>
      <c r="L37" s="13"/>
      <c r="M37" s="13"/>
      <c r="N37" s="13"/>
      <c r="O37" s="9"/>
      <c r="P37" s="9"/>
    </row>
    <row r="38" spans="1:16" ht="14" x14ac:dyDescent="0.3">
      <c r="A38" s="9"/>
      <c r="B38" s="13"/>
      <c r="C38" s="23" t="s">
        <v>85</v>
      </c>
      <c r="D38" s="13"/>
      <c r="E38" s="13"/>
      <c r="F38" s="13"/>
      <c r="G38" s="13"/>
      <c r="H38" s="13"/>
      <c r="I38" s="13"/>
      <c r="J38" s="13"/>
      <c r="K38" s="13"/>
      <c r="L38" s="13"/>
      <c r="M38" s="13"/>
      <c r="N38" s="13"/>
      <c r="O38" s="9"/>
      <c r="P38" s="9"/>
    </row>
    <row r="39" spans="1:16" ht="14" x14ac:dyDescent="0.3">
      <c r="A39" s="9"/>
      <c r="B39" s="13"/>
      <c r="C39" s="22" t="s">
        <v>76</v>
      </c>
      <c r="D39" s="13"/>
      <c r="E39" s="13"/>
      <c r="F39" s="13"/>
      <c r="G39" s="13"/>
      <c r="H39" s="13"/>
      <c r="I39" s="13"/>
      <c r="J39" s="13"/>
      <c r="K39" s="13"/>
      <c r="L39" s="13"/>
      <c r="M39" s="13"/>
      <c r="N39" s="13"/>
      <c r="O39" s="9"/>
      <c r="P39" s="9"/>
    </row>
    <row r="40" spans="1:16" ht="14" x14ac:dyDescent="0.3">
      <c r="A40" s="9"/>
      <c r="B40" s="13"/>
      <c r="C40" s="22" t="s">
        <v>75</v>
      </c>
      <c r="D40" s="13"/>
      <c r="E40" s="13"/>
      <c r="F40" s="13"/>
      <c r="G40" s="13"/>
      <c r="H40" s="13"/>
      <c r="I40" s="13"/>
      <c r="J40" s="13"/>
      <c r="K40" s="13"/>
      <c r="L40" s="13"/>
      <c r="M40" s="13"/>
      <c r="N40" s="13"/>
      <c r="O40" s="9"/>
      <c r="P40" s="9"/>
    </row>
    <row r="41" spans="1:16" x14ac:dyDescent="0.25">
      <c r="A41" s="9"/>
      <c r="B41" s="13"/>
      <c r="C41" s="13"/>
      <c r="D41" s="17"/>
      <c r="E41" s="13"/>
      <c r="F41" s="13"/>
      <c r="G41" s="13"/>
      <c r="H41" s="13"/>
      <c r="I41" s="13"/>
      <c r="J41" s="13"/>
      <c r="K41" s="13"/>
      <c r="L41" s="13"/>
      <c r="M41" s="13"/>
      <c r="N41" s="13"/>
      <c r="O41" s="9"/>
      <c r="P41" s="9"/>
    </row>
    <row r="42" spans="1:16" x14ac:dyDescent="0.25">
      <c r="A42" s="9"/>
      <c r="B42" s="13"/>
      <c r="C42" s="13"/>
      <c r="D42" s="13"/>
      <c r="E42" s="13"/>
      <c r="F42" s="13"/>
      <c r="G42" s="13"/>
      <c r="H42" s="13"/>
      <c r="I42" s="13"/>
      <c r="J42" s="13"/>
      <c r="K42" s="13"/>
      <c r="L42" s="13"/>
      <c r="M42" s="13"/>
      <c r="N42" s="13"/>
      <c r="O42" s="9"/>
      <c r="P42" s="9"/>
    </row>
    <row r="43" spans="1:16" x14ac:dyDescent="0.25">
      <c r="A43" s="9"/>
      <c r="B43" s="13"/>
      <c r="C43" s="13"/>
      <c r="D43" s="13"/>
      <c r="E43" s="13"/>
      <c r="F43" s="13"/>
      <c r="G43" s="13"/>
      <c r="H43" s="13"/>
      <c r="I43" s="13"/>
      <c r="J43" s="13"/>
      <c r="K43" s="13"/>
      <c r="L43" s="13"/>
      <c r="M43" s="13"/>
      <c r="N43" s="13"/>
      <c r="O43" s="9"/>
      <c r="P43" s="9"/>
    </row>
    <row r="44" spans="1:16" ht="18" x14ac:dyDescent="0.4">
      <c r="A44" s="9"/>
      <c r="B44" s="13"/>
      <c r="C44" s="12"/>
      <c r="D44" s="13"/>
      <c r="E44" s="13"/>
      <c r="F44" s="13"/>
      <c r="G44" s="13"/>
      <c r="H44" s="13"/>
      <c r="I44" s="13"/>
      <c r="J44" s="13"/>
      <c r="K44" s="13"/>
      <c r="L44" s="13"/>
      <c r="M44" s="13"/>
      <c r="N44" s="13"/>
      <c r="O44" s="9"/>
      <c r="P44" s="9"/>
    </row>
    <row r="45" spans="1:16" x14ac:dyDescent="0.25">
      <c r="A45" s="9"/>
      <c r="B45" s="13"/>
      <c r="C45" s="13"/>
      <c r="D45" s="13"/>
      <c r="E45" s="13"/>
      <c r="F45" s="13"/>
      <c r="G45" s="13"/>
      <c r="H45" s="13"/>
      <c r="I45" s="13"/>
      <c r="J45" s="13"/>
      <c r="K45" s="13"/>
      <c r="L45" s="13"/>
      <c r="M45" s="13"/>
      <c r="N45" s="13"/>
      <c r="O45" s="9"/>
      <c r="P45" s="9"/>
    </row>
    <row r="46" spans="1:16" x14ac:dyDescent="0.25">
      <c r="A46" s="9"/>
      <c r="B46" s="13"/>
      <c r="C46" s="13"/>
      <c r="D46" s="13"/>
      <c r="E46" s="13"/>
      <c r="F46" s="13"/>
      <c r="G46" s="13"/>
      <c r="H46" s="13"/>
      <c r="I46" s="13"/>
      <c r="J46" s="13"/>
      <c r="K46" s="13"/>
      <c r="L46" s="13"/>
      <c r="M46" s="13"/>
      <c r="N46" s="13"/>
      <c r="O46" s="9"/>
      <c r="P46" s="9"/>
    </row>
    <row r="47" spans="1:16" x14ac:dyDescent="0.25">
      <c r="A47" s="9"/>
      <c r="B47" s="13"/>
      <c r="C47" s="13"/>
      <c r="D47" s="13"/>
      <c r="E47" s="13"/>
      <c r="F47" s="13"/>
      <c r="G47" s="13"/>
      <c r="H47" s="13"/>
      <c r="I47" s="13"/>
      <c r="J47" s="13"/>
      <c r="K47" s="13"/>
      <c r="L47" s="13"/>
      <c r="M47" s="13"/>
      <c r="N47" s="13"/>
      <c r="O47" s="9"/>
      <c r="P47" s="9"/>
    </row>
    <row r="48" spans="1:16" x14ac:dyDescent="0.25">
      <c r="A48" s="9"/>
      <c r="B48" s="13"/>
      <c r="C48" s="13"/>
      <c r="D48" s="17"/>
      <c r="E48" s="13"/>
      <c r="F48" s="13"/>
      <c r="G48" s="13"/>
      <c r="H48" s="13"/>
      <c r="I48" s="13"/>
      <c r="J48" s="13"/>
      <c r="K48" s="13"/>
      <c r="L48" s="13"/>
      <c r="M48" s="13"/>
      <c r="N48" s="13"/>
      <c r="O48" s="9"/>
      <c r="P48" s="9"/>
    </row>
    <row r="49" spans="1:16" x14ac:dyDescent="0.25">
      <c r="A49" s="9"/>
      <c r="B49" s="13"/>
      <c r="C49" s="13"/>
      <c r="D49" s="13"/>
      <c r="E49" s="13"/>
      <c r="F49" s="13"/>
      <c r="G49" s="13"/>
      <c r="H49" s="13"/>
      <c r="I49" s="13"/>
      <c r="J49" s="13"/>
      <c r="K49" s="13"/>
      <c r="L49" s="13"/>
      <c r="M49" s="13"/>
      <c r="N49" s="13"/>
      <c r="O49" s="9"/>
      <c r="P49" s="9"/>
    </row>
    <row r="50" spans="1:16" ht="18" x14ac:dyDescent="0.4">
      <c r="A50" s="9"/>
      <c r="B50" s="13"/>
      <c r="C50" s="12"/>
      <c r="D50" s="13"/>
      <c r="E50" s="13"/>
      <c r="F50" s="13"/>
      <c r="G50" s="13"/>
      <c r="H50" s="13"/>
      <c r="I50" s="13"/>
      <c r="J50" s="13"/>
      <c r="K50" s="13"/>
      <c r="L50" s="13"/>
      <c r="M50" s="13"/>
      <c r="N50" s="13"/>
      <c r="O50" s="9"/>
      <c r="P50" s="9"/>
    </row>
    <row r="51" spans="1:16" x14ac:dyDescent="0.25">
      <c r="A51" s="9"/>
      <c r="B51" s="13"/>
      <c r="C51" s="13"/>
      <c r="D51" s="13"/>
      <c r="E51" s="13"/>
      <c r="F51" s="13"/>
      <c r="G51" s="13"/>
      <c r="H51" s="13"/>
      <c r="I51" s="13"/>
      <c r="J51" s="13"/>
      <c r="K51" s="13"/>
      <c r="L51" s="13"/>
      <c r="M51" s="13"/>
      <c r="N51" s="13"/>
      <c r="O51" s="9"/>
      <c r="P51" s="9"/>
    </row>
    <row r="52" spans="1:16" x14ac:dyDescent="0.25">
      <c r="A52" s="9"/>
      <c r="B52" s="13"/>
      <c r="C52" s="13"/>
      <c r="D52" s="13"/>
      <c r="E52" s="13"/>
      <c r="F52" s="13"/>
      <c r="G52" s="13"/>
      <c r="H52" s="13"/>
      <c r="I52" s="13"/>
      <c r="J52" s="13"/>
      <c r="K52" s="13"/>
      <c r="L52" s="13"/>
      <c r="M52" s="13"/>
      <c r="N52" s="13"/>
      <c r="O52" s="9"/>
      <c r="P52" s="9"/>
    </row>
    <row r="53" spans="1:16" x14ac:dyDescent="0.25">
      <c r="A53" s="9"/>
      <c r="B53" s="18"/>
      <c r="C53" s="18"/>
      <c r="D53" s="18"/>
      <c r="E53" s="18"/>
      <c r="F53" s="18"/>
      <c r="G53" s="18"/>
      <c r="H53" s="18"/>
      <c r="I53" s="18"/>
      <c r="J53" s="18"/>
      <c r="K53" s="18"/>
      <c r="L53" s="18"/>
      <c r="M53" s="18"/>
      <c r="N53" s="18"/>
      <c r="O53" s="9"/>
      <c r="P53" s="9"/>
    </row>
    <row r="54" spans="1:16" x14ac:dyDescent="0.25">
      <c r="A54" s="9"/>
      <c r="B54" s="9"/>
      <c r="C54" s="9"/>
      <c r="D54" s="9"/>
      <c r="E54" s="9"/>
      <c r="F54" s="9"/>
      <c r="G54" s="9"/>
      <c r="H54" s="9"/>
      <c r="I54" s="9"/>
      <c r="J54" s="9"/>
      <c r="K54" s="9"/>
      <c r="L54" s="9"/>
      <c r="M54" s="9"/>
      <c r="N54" s="9"/>
      <c r="O54" s="9"/>
      <c r="P54" s="9"/>
    </row>
    <row r="55" spans="1:16" x14ac:dyDescent="0.25">
      <c r="A55" s="9"/>
      <c r="B55" s="9"/>
      <c r="C55" s="9"/>
      <c r="D55" s="9"/>
      <c r="E55" s="9"/>
      <c r="F55" s="9"/>
      <c r="G55" s="9"/>
      <c r="H55" s="9"/>
      <c r="I55" s="9"/>
      <c r="J55" s="9"/>
      <c r="K55" s="9"/>
      <c r="L55" s="9"/>
      <c r="M55" s="9"/>
      <c r="N55" s="9"/>
      <c r="O55" s="9"/>
      <c r="P55" s="9"/>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Start</vt:lpstr>
      <vt:lpstr>RegionTemp</vt:lpstr>
      <vt:lpstr>Instructions</vt:lpstr>
      <vt:lpstr>MRegion</vt:lpstr>
    </vt:vector>
  </TitlesOfParts>
  <Company>www.xelplus.com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Leila Gharani</dc:creator>
  <dc:description>Example tool made to demonstrate some key VBA concepts from my online VBA course on Udemy.com</dc:description>
  <cp:lastModifiedBy>Ruby Joy Nardo</cp:lastModifiedBy>
  <dcterms:created xsi:type="dcterms:W3CDTF">2017-10-02T07:41:32Z</dcterms:created>
  <dcterms:modified xsi:type="dcterms:W3CDTF">2024-07-20T02:34:59Z</dcterms:modified>
</cp:coreProperties>
</file>